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weli2\Downloads\Project-04-SQL-Business-Analysis_FINAL\Project-04-SQL-Business-Analysis-FINAL\docs\"/>
    </mc:Choice>
  </mc:AlternateContent>
  <xr:revisionPtr revIDLastSave="0" documentId="13_ncr:1_{B8C429B3-2432-4805-9599-D77D0D4D8206}" xr6:coauthVersionLast="47" xr6:coauthVersionMax="47" xr10:uidLastSave="{00000000-0000-0000-0000-000000000000}"/>
  <bookViews>
    <workbookView xWindow="-108" yWindow="-108" windowWidth="23256" windowHeight="12456" activeTab="2" xr2:uid="{00000000-000D-0000-FFFF-FFFF00000000}"/>
  </bookViews>
  <sheets>
    <sheet name="README" sheetId="1" r:id="rId1"/>
    <sheet name="SQL_Data_Model" sheetId="2" r:id="rId2"/>
    <sheet name="Query_Library" sheetId="3" r:id="rId3"/>
    <sheet name="Business_Insights" sheetId="4" r:id="rId4"/>
    <sheet name="Executive_Recommendations" sheetId="5" r:id="rId5"/>
    <sheet name="Lessons_Learned" sheetId="6" r:id="rId6"/>
  </sheets>
  <calcPr calcId="0"/>
</workbook>
</file>

<file path=xl/sharedStrings.xml><?xml version="1.0" encoding="utf-8"?>
<sst xmlns="http://schemas.openxmlformats.org/spreadsheetml/2006/main" count="726" uniqueCount="506">
  <si>
    <t>NordicFlow ERP Consultant Portfolio — Project 4: SQL Business Analysis</t>
  </si>
  <si>
    <t>Project</t>
  </si>
  <si>
    <t>Version</t>
  </si>
  <si>
    <t>Status</t>
  </si>
  <si>
    <t>Author</t>
  </si>
  <si>
    <t>Database</t>
  </si>
  <si>
    <t>Queries</t>
  </si>
  <si>
    <t>Records</t>
  </si>
  <si>
    <t>Primary Scope</t>
  </si>
  <si>
    <t>Source</t>
  </si>
  <si>
    <t>Next Phase</t>
  </si>
  <si>
    <t>Project 4 — SQL Business Analysis</t>
  </si>
  <si>
    <t>1.0</t>
  </si>
  <si>
    <t>Complete</t>
  </si>
  <si>
    <t>Dinesh Welikala</t>
  </si>
  <si>
    <t>SQLite / NordicFlow_ERP.db</t>
  </si>
  <si>
    <t>Inventory, Procurement, Production, Executive Analytics</t>
  </si>
  <si>
    <t>Project 3 trusted clean ERP dataset</t>
  </si>
  <si>
    <t>Project 5 — Python ERP Analytics</t>
  </si>
  <si>
    <t>Business objective</t>
  </si>
  <si>
    <t>Use SQL to transform the trusted Project 3 ERP dataset into evidence-based business insights. The project validates the relational data model, analyses inventory availability and working capital, measures supplier and production performance, links BOM dependencies to shortage risk, and produces executive recommendations for a simulated manufacturing client.</t>
  </si>
  <si>
    <t>Project workflow</t>
  </si>
  <si>
    <t>1. Clean source</t>
  </si>
  <si>
    <t>2. CSV staging</t>
  </si>
  <si>
    <t>3. Relational schema</t>
  </si>
  <si>
    <t>4. Load validation</t>
  </si>
  <si>
    <t>5. Inventory</t>
  </si>
  <si>
    <t>6. Procurement</t>
  </si>
  <si>
    <t>7. Production</t>
  </si>
  <si>
    <t>8. Cross-functional</t>
  </si>
  <si>
    <t>9. Recommendations</t>
  </si>
  <si>
    <t>10. Next phase</t>
  </si>
  <si>
    <t>Project 3 clean output</t>
  </si>
  <si>
    <t>7 UTF-8 CSVs</t>
  </si>
  <si>
    <t>PK/FK constraints</t>
  </si>
  <si>
    <t>Counts, duplicates, orphans</t>
  </si>
  <si>
    <t>Stock and working capital</t>
  </si>
  <si>
    <t>Supplier OTD / lead time</t>
  </si>
  <si>
    <t>Delay and attainment</t>
  </si>
  <si>
    <t>Risk / Pareto / KPIs</t>
  </si>
  <si>
    <t>Consultant actions</t>
  </si>
  <si>
    <t>Python and Power BI</t>
  </si>
  <si>
    <t>Executive KPI snapshot</t>
  </si>
  <si>
    <t>Latest Inventory Value (€)</t>
  </si>
  <si>
    <t>Supplier OTD %</t>
  </si>
  <si>
    <t>Production On-Time %</t>
  </si>
  <si>
    <t>Shortage-Affected Orders</t>
  </si>
  <si>
    <t>ERP Tables</t>
  </si>
  <si>
    <t>SQL Queries</t>
  </si>
  <si>
    <t>Clean Records</t>
  </si>
  <si>
    <t>Plant</t>
  </si>
  <si>
    <t>Vaasa</t>
  </si>
  <si>
    <t>Q39</t>
  </si>
  <si>
    <t>Validated DB</t>
  </si>
  <si>
    <t>Validated Library</t>
  </si>
  <si>
    <t>Reconciled Load</t>
  </si>
  <si>
    <t>Tampere</t>
  </si>
  <si>
    <t>Total</t>
  </si>
  <si>
    <t>Portfolio deliverables</t>
  </si>
  <si>
    <t>Deliverable</t>
  </si>
  <si>
    <t>Purpose</t>
  </si>
  <si>
    <t>Evidence</t>
  </si>
  <si>
    <t>Recruiter value</t>
  </si>
  <si>
    <t>Tool</t>
  </si>
  <si>
    <t>Location</t>
  </si>
  <si>
    <t>Relational database</t>
  </si>
  <si>
    <t>Analysis-ready SQLite database with physical PK/FK constraints</t>
  </si>
  <si>
    <t>7 tables / 374 rows</t>
  </si>
  <si>
    <t>Shows database design and integrity</t>
  </si>
  <si>
    <t>SQLite</t>
  </si>
  <si>
    <t>/database</t>
  </si>
  <si>
    <t>SQL schema</t>
  </si>
  <si>
    <t>CREATE TABLE, keys, constraints and indexes</t>
  </si>
  <si>
    <t>00_schema.sql</t>
  </si>
  <si>
    <t>Shows relational implementation</t>
  </si>
  <si>
    <t>SQL</t>
  </si>
  <si>
    <t>/sql</t>
  </si>
  <si>
    <t>40-query library</t>
  </si>
  <si>
    <t>Validation through executive analytics</t>
  </si>
  <si>
    <t>Q01–Q40</t>
  </si>
  <si>
    <t>Shows increasing SQL depth</t>
  </si>
  <si>
    <t>Reusable views</t>
  </si>
  <si>
    <t>Latest inventory and supplier performance</t>
  </si>
  <si>
    <t>06_reusable_views.sql</t>
  </si>
  <si>
    <t>Shows reusable analytical design</t>
  </si>
  <si>
    <t>Key outputs</t>
  </si>
  <si>
    <t>Selected decision-relevant CSV outputs</t>
  </si>
  <si>
    <t>15 outputs</t>
  </si>
  <si>
    <t>Shows evidence trail</t>
  </si>
  <si>
    <t>CSV</t>
  </si>
  <si>
    <t>/outputs</t>
  </si>
  <si>
    <t>Documentation workbook</t>
  </si>
  <si>
    <t>Model, queries, insights, recommendations and learning</t>
  </si>
  <si>
    <t>This workbook</t>
  </si>
  <si>
    <t>Shows consultant communication</t>
  </si>
  <si>
    <t>Excel</t>
  </si>
  <si>
    <t>/docs</t>
  </si>
  <si>
    <t>GitHub README</t>
  </si>
  <si>
    <t>Business narrative and run instructions</t>
  </si>
  <si>
    <t>README.md</t>
  </si>
  <si>
    <t>Makes repository recruiter-friendly</t>
  </si>
  <si>
    <t>Markdown</t>
  </si>
  <si>
    <t>root</t>
  </si>
  <si>
    <t>Screenshots</t>
  </si>
  <si>
    <t>Selective visual evidence</t>
  </si>
  <si>
    <t>User capture</t>
  </si>
  <si>
    <t>8 recommended views</t>
  </si>
  <si>
    <t>Supports fast portfolio review</t>
  </si>
  <si>
    <t>PNG</t>
  </si>
  <si>
    <t>/screenshots</t>
  </si>
  <si>
    <t>Control statement</t>
  </si>
  <si>
    <t>NordicFlow Manufacturing Oy and all data are fictional. The project is a controlled portfolio simulation. SQL conclusions are grounded in the simulated dataset and should be presented as demonstrated consulting capability, not as results from a real client production system.</t>
  </si>
  <si>
    <t>SQL Data Model</t>
  </si>
  <si>
    <t>Table</t>
  </si>
  <si>
    <t>Logical / Physical Key</t>
  </si>
  <si>
    <t>Data Type</t>
  </si>
  <si>
    <t>Related Table</t>
  </si>
  <si>
    <t>Join Column</t>
  </si>
  <si>
    <t>Cardinality</t>
  </si>
  <si>
    <t>Business Purpose</t>
  </si>
  <si>
    <t>material_master</t>
  </si>
  <si>
    <t>Material_ID</t>
  </si>
  <si>
    <t>Master</t>
  </si>
  <si>
    <t>inventory_snapshot</t>
  </si>
  <si>
    <t>1 : many</t>
  </si>
  <si>
    <t>Material planning, classification and costing</t>
  </si>
  <si>
    <t>supplier_master</t>
  </si>
  <si>
    <t>Supplier_ID</t>
  </si>
  <si>
    <t>Preferred_Supplier_ID</t>
  </si>
  <si>
    <t>Preferred purchasing source</t>
  </si>
  <si>
    <t>plant_master</t>
  </si>
  <si>
    <t>Plant_ID</t>
  </si>
  <si>
    <t>Reference</t>
  </si>
  <si>
    <t>Plant and site reference</t>
  </si>
  <si>
    <t>bom</t>
  </si>
  <si>
    <t>BOM_ID + BOM_Version + Component_Line</t>
  </si>
  <si>
    <t>Component_Material_ID / Finished_Product_ID</t>
  </si>
  <si>
    <t>many : 1</t>
  </si>
  <si>
    <t>Product-component structure</t>
  </si>
  <si>
    <t>Snapshot_Date + Material_ID + Plant_ID + Stock_Status</t>
  </si>
  <si>
    <t>Snapshot fact</t>
  </si>
  <si>
    <t>material_master / plant_master</t>
  </si>
  <si>
    <t>Material_ID / Plant_ID</t>
  </si>
  <si>
    <t>Stock position and availability</t>
  </si>
  <si>
    <t>purchase_order_lines</t>
  </si>
  <si>
    <t>PO_ID + PO_Line</t>
  </si>
  <si>
    <t>Transaction fact</t>
  </si>
  <si>
    <t>supplier_master / material_master / plant_master</t>
  </si>
  <si>
    <t>Supplier_ID / Material_ID / Plant_ID</t>
  </si>
  <si>
    <t>Incoming supply, spend and supplier performance</t>
  </si>
  <si>
    <t>production_orders</t>
  </si>
  <si>
    <t>Relationship register</t>
  </si>
  <si>
    <t>Parent Table</t>
  </si>
  <si>
    <t>Parent Key</t>
  </si>
  <si>
    <t>Child Table</t>
  </si>
  <si>
    <t>Foreign Key</t>
  </si>
  <si>
    <t>Relationship</t>
  </si>
  <si>
    <t>Business Meaning</t>
  </si>
  <si>
    <t>Preferred purchasing source for a material</t>
  </si>
  <si>
    <t>Supplier responsible for PO line</t>
  </si>
  <si>
    <t>Plant holding inventory</t>
  </si>
  <si>
    <t>Receiving / demand plant</t>
  </si>
  <si>
    <t>Production location</t>
  </si>
  <si>
    <t>Material stock position</t>
  </si>
  <si>
    <t>Purchased material</t>
  </si>
  <si>
    <t>Component_Material_ID</t>
  </si>
  <si>
    <t>Component used in finished products</t>
  </si>
  <si>
    <t>Finished_Product_ID</t>
  </si>
  <si>
    <t>Finished product BOM header relationship</t>
  </si>
  <si>
    <t>Produced finished product</t>
  </si>
  <si>
    <t>Educational note</t>
  </si>
  <si>
    <t>The original CSV import did not create physical keys. In the final Project 4 database, the logical ERP keys are now implemented as SQLite PRIMARY KEY and FOREIGN KEY constraints. This separates business-key design from database enforcement.</t>
  </si>
  <si>
    <t>SQL Query Library — 40 Validated Queries</t>
  </si>
  <si>
    <t>Query_ID</t>
  </si>
  <si>
    <t>Domain</t>
  </si>
  <si>
    <t>Business Question</t>
  </si>
  <si>
    <t>Main SQL Concepts</t>
  </si>
  <si>
    <t>Decision Use</t>
  </si>
  <si>
    <t>Validation</t>
  </si>
  <si>
    <t>SQL File</t>
  </si>
  <si>
    <t>Q01</t>
  </si>
  <si>
    <t>Database Validation</t>
  </si>
  <si>
    <t>How many records are loaded in each ERP table?</t>
  </si>
  <si>
    <t>COUNT, UNION ALL</t>
  </si>
  <si>
    <t>Reconcile the SQL load to the clean Excel release before analysis.</t>
  </si>
  <si>
    <t>PASS</t>
  </si>
  <si>
    <t>01_database_validation.sql</t>
  </si>
  <si>
    <t>Q02</t>
  </si>
  <si>
    <t>What material categories are managed in the ERP?</t>
  </si>
  <si>
    <t>GROUP BY, COUNT</t>
  </si>
  <si>
    <t>Understand the manufacturing material structure before transaction analysis.</t>
  </si>
  <si>
    <t>Q03</t>
  </si>
  <si>
    <t>Do logical primary keys contain duplicates?</t>
  </si>
  <si>
    <t>CTE, GROUP BY, HAVING, UNION ALL</t>
  </si>
  <si>
    <t>A clean release should return no rows; duplicates would distort joins and KPIs.</t>
  </si>
  <si>
    <t>Q04</t>
  </si>
  <si>
    <t>Are mandatory business keys missing?</t>
  </si>
  <si>
    <t>SUM, CASE, UNION ALL</t>
  </si>
  <si>
    <t>Confirm that key records can be uniquely identified and traced.</t>
  </si>
  <si>
    <t>Q05</t>
  </si>
  <si>
    <t>Are there orphan references after cleaning?</t>
  </si>
  <si>
    <t>LEFT JOIN, CASE, UNION ALL</t>
  </si>
  <si>
    <t>Zero orphan counts confirm referential integrity for analytical joins.</t>
  </si>
  <si>
    <t>Q06</t>
  </si>
  <si>
    <t>Inventory</t>
  </si>
  <si>
    <t>What is the latest inventory snapshot date?</t>
  </si>
  <si>
    <t>MAX</t>
  </si>
  <si>
    <t>Use one reporting date to avoid double-counting inventory across monthly snapshots.</t>
  </si>
  <si>
    <t>02_inventory_analysis.sql</t>
  </si>
  <si>
    <t>Q07</t>
  </si>
  <si>
    <t>What is the latest inventory value by plant?</t>
  </si>
  <si>
    <t>CTE, JOIN, SUM, GROUP BY</t>
  </si>
  <si>
    <t>Identify where working capital is concentrated.</t>
  </si>
  <si>
    <t>Q08</t>
  </si>
  <si>
    <t>How is latest inventory distributed by stock status?</t>
  </si>
  <si>
    <t>CTE, SUM, GROUP BY</t>
  </si>
  <si>
    <t>Separate physically present inventory from immediately usable stock.</t>
  </si>
  <si>
    <t>Q09</t>
  </si>
  <si>
    <t>How much inventory value sits in each ABC class?</t>
  </si>
  <si>
    <t>Check whether working capital is aligned with material importance.</t>
  </si>
  <si>
    <t>Q10</t>
  </si>
  <si>
    <t>Which materials have unrestricted stock below safety stock?</t>
  </si>
  <si>
    <t>CTE, JOIN, SUM, CASE, HAVING</t>
  </si>
  <si>
    <t>Prioritise materials that threaten production continuity.</t>
  </si>
  <si>
    <t>Q11</t>
  </si>
  <si>
    <t>Which materials are below reorder point at the latest snapshot?</t>
  </si>
  <si>
    <t>CTE, JOIN, SUM, WHERE</t>
  </si>
  <si>
    <t>Identify replenishment exposure before a stockout occurs.</t>
  </si>
  <si>
    <t>Q12</t>
  </si>
  <si>
    <t>Which materials have usable shortage in one plant while unrestricted stock exists in another plant?</t>
  </si>
  <si>
    <t>CTE, self-join, CASE, SUM</t>
  </si>
  <si>
    <t>Identify stock-transfer opportunities before placing new purchase orders.</t>
  </si>
  <si>
    <t>Q13</t>
  </si>
  <si>
    <t>Which materials have the most stock tied up in quality inspection?</t>
  </si>
  <si>
    <t>Focus quality and supplier actions on stock that is physically present but unavailable.</t>
  </si>
  <si>
    <t>Q14</t>
  </si>
  <si>
    <t>What are the top materials by latest inventory value?</t>
  </si>
  <si>
    <t>CTE, JOIN, SUM, ORDER BY, LIMIT</t>
  </si>
  <si>
    <t>Target working-capital reviews at the materials with the largest financial exposure.</t>
  </si>
  <si>
    <t>Q15</t>
  </si>
  <si>
    <t>Which C-class materials appear overstocked relative to reorder point?</t>
  </si>
  <si>
    <t>Reduce low-priority excess stock and redirect working capital toward critical materials.</t>
  </si>
  <si>
    <t>Q16</t>
  </si>
  <si>
    <t>Procurement</t>
  </si>
  <si>
    <t>How many purchase lines and how much received spend are associated with each supplier?</t>
  </si>
  <si>
    <t>JOIN, COUNT, SUM, GROUP BY</t>
  </si>
  <si>
    <t>Understand supplier dependency and financial exposure.</t>
  </si>
  <si>
    <t>03_procurement_analysis.sql</t>
  </si>
  <si>
    <t>Q17</t>
  </si>
  <si>
    <t>What is supplier on-time delivery performance?</t>
  </si>
  <si>
    <t>JOIN, AVG, CASE, GROUP BY</t>
  </si>
  <si>
    <t>Identify suppliers whose delivery performance is below the expected service level.</t>
  </si>
  <si>
    <t>Q18</t>
  </si>
  <si>
    <t>What is the average actual lead time by supplier?</t>
  </si>
  <si>
    <t>JOIN, AVG, GROUP BY</t>
  </si>
  <si>
    <t>Separate master-data assumptions from actual supplier performance.</t>
  </si>
  <si>
    <t>Q19</t>
  </si>
  <si>
    <t>Which suppliers have the highest average delivery delay?</t>
  </si>
  <si>
    <t>Prioritise supplier improvement discussions by delay severity.</t>
  </si>
  <si>
    <t>Q20</t>
  </si>
  <si>
    <t>Which purchase order lines were delivered late?</t>
  </si>
  <si>
    <t>JOIN, WHERE, ORDER BY</t>
  </si>
  <si>
    <t>Create an exception list for procurement follow-up.</t>
  </si>
  <si>
    <t>Q21</t>
  </si>
  <si>
    <t>Which suppliers and materials generate quality rejections?</t>
  </si>
  <si>
    <t>JOIN, SUM, GROUP BY, HAVING</t>
  </si>
  <si>
    <t>Link supplier quality problems to inventory availability risk.</t>
  </si>
  <si>
    <t>Q22</t>
  </si>
  <si>
    <t>Which suppliers should management review first based on delivery, quality and risk?</t>
  </si>
  <si>
    <t>CTE, CASE, JOIN, GROUP BY</t>
  </si>
  <si>
    <t>Combine multiple supplier-risk signals rather than relying on one KPI.</t>
  </si>
  <si>
    <t>Q23</t>
  </si>
  <si>
    <t>What is purchase spend by supplier and material?</t>
  </si>
  <si>
    <t>JOIN, SUM, GROUP BY</t>
  </si>
  <si>
    <t>Identify high-spend supplier-material combinations for sourcing attention.</t>
  </si>
  <si>
    <t>Q24</t>
  </si>
  <si>
    <t>Which materials have actual purchase lead times materially above the planned material lead time?</t>
  </si>
  <si>
    <t>JOIN, AVG, GROUP BY, HAVING</t>
  </si>
  <si>
    <t>Update planning parameters where repeated actual lead time exceeds master-data assumptions.</t>
  </si>
  <si>
    <t>Q25</t>
  </si>
  <si>
    <t>Production</t>
  </si>
  <si>
    <t>What percentage of production orders finish on time?</t>
  </si>
  <si>
    <t>AVG, CASE</t>
  </si>
  <si>
    <t>Establish the overall production schedule-reliability baseline.</t>
  </si>
  <si>
    <t>04_production_analysis.sql</t>
  </si>
  <si>
    <t>Q26</t>
  </si>
  <si>
    <t>What are the main production delay reasons?</t>
  </si>
  <si>
    <t>COUNT, AVG, GROUP BY</t>
  </si>
  <si>
    <t>Focus improvement work on the most frequent and severe root causes.</t>
  </si>
  <si>
    <t>Q27</t>
  </si>
  <si>
    <t>How much worse are orders affected by material shortages?</t>
  </si>
  <si>
    <t>CASE, GROUP BY, AVG</t>
  </si>
  <si>
    <t>Quantify the operational impact of material availability problems.</t>
  </si>
  <si>
    <t>Q28</t>
  </si>
  <si>
    <t>Which finished products experience the most production delay?</t>
  </si>
  <si>
    <t>JOIN, GROUP BY, AVG, MAX</t>
  </si>
  <si>
    <t>Identify product families requiring deeper planning or component analysis.</t>
  </si>
  <si>
    <t>Q29</t>
  </si>
  <si>
    <t>How closely does actual output match planned production quantity?</t>
  </si>
  <si>
    <t>SUM, CASE, arithmetic</t>
  </si>
  <si>
    <t>Measure whether schedule delays are also translating into output shortfalls.</t>
  </si>
  <si>
    <t>Q30</t>
  </si>
  <si>
    <t>Do urgent and high-priority orders suffer more delay?</t>
  </si>
  <si>
    <t>GROUP BY, AVG, CASE</t>
  </si>
  <si>
    <t>Check whether prioritisation is genuinely protecting the most important orders.</t>
  </si>
  <si>
    <t>Q31</t>
  </si>
  <si>
    <t>How does production performance compare by plant?</t>
  </si>
  <si>
    <t>JOIN, GROUP BY, AVG</t>
  </si>
  <si>
    <t>Distinguish system-wide problems from plant-specific performance issues.</t>
  </si>
  <si>
    <t>Q32</t>
  </si>
  <si>
    <t>Which production orders have the largest duration variance?</t>
  </si>
  <si>
    <t>JOIN, arithmetic, ORDER BY</t>
  </si>
  <si>
    <t>Create an exception list for production root-cause review.</t>
  </si>
  <si>
    <t>Q33</t>
  </si>
  <si>
    <t>Which BOM components are most exposed to material-shortage production orders?</t>
  </si>
  <si>
    <t>JOIN, GROUP BY, COUNT</t>
  </si>
  <si>
    <t>Prioritise components that can disrupt multiple shortage-affected production orders.</t>
  </si>
  <si>
    <t>Q34</t>
  </si>
  <si>
    <t>Executive</t>
  </si>
  <si>
    <t>Which critical materials combine low usable stock with supplier risk?</t>
  </si>
  <si>
    <t>CTE, JOIN, CASE</t>
  </si>
  <si>
    <t>Create a management watchlist combining inventory and supplier exposure.</t>
  </si>
  <si>
    <t>05_executive_analysis.sql</t>
  </si>
  <si>
    <t>Q35</t>
  </si>
  <si>
    <t>What interplant transfer opportunities could reduce shortages without new purchasing?</t>
  </si>
  <si>
    <t>CTE, self-join</t>
  </si>
  <si>
    <t>Use internal stock balancing before increasing external purchases.</t>
  </si>
  <si>
    <t>Q36</t>
  </si>
  <si>
    <t>How much latest inventory value is tied up by ABC class and stock status?</t>
  </si>
  <si>
    <t>CTE, JOIN, GROUP BY</t>
  </si>
  <si>
    <t>Expose working capital tied up in low-priority or restricted inventory.</t>
  </si>
  <si>
    <t>Q37</t>
  </si>
  <si>
    <t>Which purchased components combine production dependency with weak supplier performance?</t>
  </si>
  <si>
    <t>Target dual-sourcing or supplier-development efforts at high-dependency components.</t>
  </si>
  <si>
    <t>Q38</t>
  </si>
  <si>
    <t>Which materials make up the Pareto concentration of latest inventory value?</t>
  </si>
  <si>
    <t>CTE, window functions</t>
  </si>
  <si>
    <t>Focus working-capital management on the small set of materials driving most inventory value.</t>
  </si>
  <si>
    <t>What are the core executive KPIs across inventory, procurement and production?</t>
  </si>
  <si>
    <t>CTE, scalar subqueries</t>
  </si>
  <si>
    <t>Provide a one-row management summary for later Power BI KPI cards.</t>
  </si>
  <si>
    <t>Q40</t>
  </si>
  <si>
    <t>What evidence supports the main root-cause categories behind shortages and delays?</t>
  </si>
  <si>
    <t>CTE, UNION ALL, KPI evidence</t>
  </si>
  <si>
    <t>Summarise the evidence chain for the final consultant narrative instead of blaming one cause.</t>
  </si>
  <si>
    <t>Business Insights — SQL Evidence to Consultant Interpretation</t>
  </si>
  <si>
    <t>Insight_ID</t>
  </si>
  <si>
    <t>Finding</t>
  </si>
  <si>
    <t>SQL Evidence</t>
  </si>
  <si>
    <t>Actual Result</t>
  </si>
  <si>
    <t>Business Interpretation</t>
  </si>
  <si>
    <t>Consultant Recommendation</t>
  </si>
  <si>
    <t>I01</t>
  </si>
  <si>
    <t>Latest inventory value is concentrated across two manufacturing plants.</t>
  </si>
  <si>
    <t>Vaasa €103,882; Tampere €95,374.50</t>
  </si>
  <si>
    <t>Working capital is relatively balanced by plant, but plant-level material availability still differs materially.</t>
  </si>
  <si>
    <t>Manage availability at material-plant level rather than relying on total company inventory.</t>
  </si>
  <si>
    <t>I02</t>
  </si>
  <si>
    <t>Critical material shortages exist despite stock elsewhere.</t>
  </si>
  <si>
    <t>Q10 / Q12</t>
  </si>
  <si>
    <t>CMP-1001, CMP-1002 and CMP-1004 are below safety stock in Tampere while stock exists in Vaasa.</t>
  </si>
  <si>
    <t>The business has an inventory allocation problem, not only a purchasing problem.</t>
  </si>
  <si>
    <t>Introduce interplant transfer logic and plant-level shortage review before creating new POs.</t>
  </si>
  <si>
    <t>I03</t>
  </si>
  <si>
    <t>Quality inspection blocks usable stock.</t>
  </si>
  <si>
    <t>€8,024 latest inventory value in Quality Inspection; €7,040 relates to CMP-1001.</t>
  </si>
  <si>
    <t>Physical inventory overstates immediately usable inventory.</t>
  </si>
  <si>
    <t>Reduce inspection cycle time and connect supplier quality performance to availability KPIs.</t>
  </si>
  <si>
    <t>I04</t>
  </si>
  <si>
    <t>Working Capital</t>
  </si>
  <si>
    <t>C-class materials show clear overstock.</t>
  </si>
  <si>
    <t>CMP-1010 excess 180 units; CMP-1015 excess 410 units in Tampere.</t>
  </si>
  <si>
    <t>Low-priority inventory consumes working capital while critical materials face shortages.</t>
  </si>
  <si>
    <t>Reduce replenishment levels for C-class items and redirect working capital to critical supply.</t>
  </si>
  <si>
    <t>I05</t>
  </si>
  <si>
    <t>Supplier on-time delivery is weak across most suppliers.</t>
  </si>
  <si>
    <t>Overall pattern: only SUP-008 reaches 100%; several suppliers are at 0–50%.</t>
  </si>
  <si>
    <t>Supplier reliability is a significant contributor to planning risk.</t>
  </si>
  <si>
    <t>Use supplier scorecards and corrective-action reviews, starting with the worst performers.</t>
  </si>
  <si>
    <t>I06</t>
  </si>
  <si>
    <t>ControlPro has the largest delivery-delay exposure.</t>
  </si>
  <si>
    <t>Q19 / Q22</t>
  </si>
  <si>
    <t>SUP-004 averages 16.3 days late and is classified High risk.</t>
  </si>
  <si>
    <t>A high-risk supplier is also materially underperforming operationally.</t>
  </si>
  <si>
    <t>Escalate supplier development, consider alternate sourcing and revise planning lead time.</t>
  </si>
  <si>
    <t>I09</t>
  </si>
  <si>
    <t>Production schedule reliability is poor.</t>
  </si>
  <si>
    <t>4 of 15 orders on time; 26.7% on-time completion.</t>
  </si>
  <si>
    <t>The current process does not reliably meet planned completion dates.</t>
  </si>
  <si>
    <t>Track delay root causes by plant, product and material dependency.</t>
  </si>
  <si>
    <t>I10</t>
  </si>
  <si>
    <t>Material shortage has a strong measurable delay effect.</t>
  </si>
  <si>
    <t>Shortage orders average 5.7 days delay vs 0.3 days without shortage.</t>
  </si>
  <si>
    <t>Material availability is strongly associated with production delay.</t>
  </si>
  <si>
    <t>Prioritise shortage prevention and material availability controls in production planning.</t>
  </si>
  <si>
    <t>I11</t>
  </si>
  <si>
    <t>Performance differs sharply by plant.</t>
  </si>
  <si>
    <t>Tampere: 0% on time and 5.7-day average delay; Vaasa: 66.7% on time and 0.3-day delay.</t>
  </si>
  <si>
    <t>The problem is not evenly distributed across the network.</t>
  </si>
  <si>
    <t>Perform a focused Tampere planning and material-flow review.</t>
  </si>
  <si>
    <t>I12</t>
  </si>
  <si>
    <t>BOM / Supply Risk</t>
  </si>
  <si>
    <t>CMP-1004 is a high-dependency shortage component.</t>
  </si>
  <si>
    <t>CMP-1004 appears in 9 shortage-affected orders across 3 finished products.</t>
  </si>
  <si>
    <t>One critical component can disrupt multiple products and production orders.</t>
  </si>
  <si>
    <t>Treat CMP-1004 as a strategic material with stronger safety stock, sourcing and lead-time governance.</t>
  </si>
  <si>
    <t>I13</t>
  </si>
  <si>
    <t>Executive Risk</t>
  </si>
  <si>
    <t>Three critical material-plant positions combine shortage and supplier risk.</t>
  </si>
  <si>
    <t>CMP-1004, CMP-1001 and CMP-1002 at Tampere are classified High supply risk.</t>
  </si>
  <si>
    <t>Inventory and supplier risk reinforce each other.</t>
  </si>
  <si>
    <t>Create a critical-material exception dashboard combining stock, supplier and production dependency.</t>
  </si>
  <si>
    <t>I14</t>
  </si>
  <si>
    <t>Inventory Optimisation</t>
  </si>
  <si>
    <t>Internal transfers can solve several shortages without extra procurement.</t>
  </si>
  <si>
    <t>Examples: CMP-1004 6 units, CMP-1002 5, CMP-1001 3 can be transferred to shortage plants.</t>
  </si>
  <si>
    <t>Network inventory is not optimally positioned.</t>
  </si>
  <si>
    <t>Introduce an interplant transfer decision rule before external replenishment.</t>
  </si>
  <si>
    <t>I15</t>
  </si>
  <si>
    <t>The overall system shows multi-causal operational risk.</t>
  </si>
  <si>
    <t>Q39 / Q40</t>
  </si>
  <si>
    <t>€199,256.50 inventory; supplier OTD 45.8%; production on-time 26.7%; 9 shortage-affected orders.</t>
  </si>
  <si>
    <t>The core problem is not one bad supplier or one bad material; it spans planning, quality, procurement and stock positioning.</t>
  </si>
  <si>
    <t>Manage the issue through cross-functional ERP governance and shared KPIs.</t>
  </si>
  <si>
    <t>Executive Recommendations</t>
  </si>
  <si>
    <t>Priority_ID</t>
  </si>
  <si>
    <t>Priority</t>
  </si>
  <si>
    <t>Recommendation</t>
  </si>
  <si>
    <t>Owner</t>
  </si>
  <si>
    <t>Action</t>
  </si>
  <si>
    <t>Timeline</t>
  </si>
  <si>
    <t>Expected Business Impact</t>
  </si>
  <si>
    <t>P1</t>
  </si>
  <si>
    <t>Critical</t>
  </si>
  <si>
    <t>Correct planning lead times for high-gap materials</t>
  </si>
  <si>
    <t>Q24: CMP-1004 gap 21.3 days; multiple other materials exceed planned lead time.</t>
  </si>
  <si>
    <t>Supply Chain Planning + Procurement</t>
  </si>
  <si>
    <t>Update planned lead times monthly using actual PO history.</t>
  </si>
  <si>
    <t>0–30 days</t>
  </si>
  <si>
    <t>Lower shortage risk and more realistic MRP proposals</t>
  </si>
  <si>
    <t>P2</t>
  </si>
  <si>
    <t>Introduce plant-level shortage and transfer review</t>
  </si>
  <si>
    <t>Q10/Q12/Q35 show shortages in one plant while stock exists in another.</t>
  </si>
  <si>
    <t>Supply Chain + Warehouse</t>
  </si>
  <si>
    <t>Add interplant transfer check before new purchasing.</t>
  </si>
  <si>
    <t>Faster shortage recovery with less new working capital</t>
  </si>
  <si>
    <t>P3</t>
  </si>
  <si>
    <t>High</t>
  </si>
  <si>
    <t>Launch supplier performance corrective actions</t>
  </si>
  <si>
    <t>Q17/Q19/Q22 show broad OTD weakness; SUP-004 averages 16.3 days late.</t>
  </si>
  <si>
    <t>Supplier scorecards, action plans and alternate-source review.</t>
  </si>
  <si>
    <t>0–60 days</t>
  </si>
  <si>
    <t>Improved delivery reliability</t>
  </si>
  <si>
    <t>P4</t>
  </si>
  <si>
    <t>Strengthen supplier quality control for CMP-1002</t>
  </si>
  <si>
    <t>Q21 shows 22.67% rejection rate from SUP-002.</t>
  </si>
  <si>
    <t>Quality + Procurement</t>
  </si>
  <si>
    <t>Supplier CAPA, incoming-quality trend and accepted-quantity KPI.</t>
  </si>
  <si>
    <t>More usable stock and less production disruption</t>
  </si>
  <si>
    <t>P5</t>
  </si>
  <si>
    <t>Reduce excess C-class inventory</t>
  </si>
  <si>
    <t>Q15 identifies large excess quantities for CMP-1010 and CMP-1015.</t>
  </si>
  <si>
    <t>Inventory Planning</t>
  </si>
  <si>
    <t>Review reorder points, lot sizes and replenishment frequency.</t>
  </si>
  <si>
    <t>30–90 days</t>
  </si>
  <si>
    <t>Working-capital release</t>
  </si>
  <si>
    <t>P6</t>
  </si>
  <si>
    <t>Create Tampere recovery plan</t>
  </si>
  <si>
    <t>Q31: Tampere 0% on-time production vs Vaasa 66.7%.</t>
  </si>
  <si>
    <t>Production + Planning</t>
  </si>
  <si>
    <t>Review shortage, release timing, supplier dependency and capacity constraints.</t>
  </si>
  <si>
    <t>Higher schedule adherence</t>
  </si>
  <si>
    <t>Lessons Learned — SQL for ERP Consulting</t>
  </si>
  <si>
    <t>Concept</t>
  </si>
  <si>
    <t>What I Learned</t>
  </si>
  <si>
    <t>Consultant Memory Rule</t>
  </si>
  <si>
    <t>SELECT / WHERE</t>
  </si>
  <si>
    <t>Retrieve and filter business records.</t>
  </si>
  <si>
    <t>Start with a clear business question, then select only relevant columns.</t>
  </si>
  <si>
    <t>GROUP BY</t>
  </si>
  <si>
    <t>Turn transaction rows into management summaries.</t>
  </si>
  <si>
    <t>Use with COUNT, SUM, AVG, MIN and MAX.</t>
  </si>
  <si>
    <t>HAVING</t>
  </si>
  <si>
    <t>Filter aggregated results.</t>
  </si>
  <si>
    <t>WHERE filters rows; HAVING filters groups.</t>
  </si>
  <si>
    <t>JOIN</t>
  </si>
  <si>
    <t>Connect ERP business objects.</t>
  </si>
  <si>
    <t>Always confirm grain and join key before trusting totals.</t>
  </si>
  <si>
    <t>LEFT JOIN</t>
  </si>
  <si>
    <t>Keep the primary business population even when related data is missing.</t>
  </si>
  <si>
    <t>Useful for referential-integrity and exception analysis.</t>
  </si>
  <si>
    <t>CASE</t>
  </si>
  <si>
    <t>Translate business rules into analytical classifications.</t>
  </si>
  <si>
    <t>Useful for risk bands, status logic and KPI flags.</t>
  </si>
  <si>
    <t>Window functions</t>
  </si>
  <si>
    <t>Calculate rankings and cumulative measures without collapsing detail.</t>
  </si>
  <si>
    <t>Used for Pareto analysis and running totals.</t>
  </si>
  <si>
    <t>Logical vs physical keys</t>
  </si>
  <si>
    <t>ERP defines business keys; the database can enforce them.</t>
  </si>
  <si>
    <t>CSV imports did not create constraints, so Project 4 includes a proper schema.</t>
  </si>
  <si>
    <t>Validation queries</t>
  </si>
  <si>
    <t>An empty result can be a successful control test.</t>
  </si>
  <si>
    <t>For duplicates/orphans, zero rows often means PASS.</t>
  </si>
  <si>
    <t>Consultant interpretation</t>
  </si>
  <si>
    <t>SQL output is not the final deliverable.</t>
  </si>
  <si>
    <t>Always translate result → business meaning → decision → recommendation.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</si>
</sst>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font>
      <sz val="11"/>
      <name val="Carlito"/>
    </font>
    <font>
      <b/>
      <sz val="18"/>
      <color rgb="FFFFFFFF"/>
      <name val="Palatino Linotype"/>
      <family val="1"/>
    </font>
    <font>
      <sz val="11"/>
      <name val="Palatino Linotype"/>
      <family val="1"/>
    </font>
    <font>
      <b/>
      <sz val="11"/>
      <color rgb="FFFFFFFF"/>
      <name val="Palatino Linotype"/>
      <family val="1"/>
    </font>
    <font>
      <b/>
      <sz val="12"/>
      <color rgb="FF17365D"/>
      <name val="Palatino Linotype"/>
      <family val="1"/>
    </font>
    <font>
      <b/>
      <sz val="11"/>
      <name val="Palatino Linotype"/>
      <family val="1"/>
    </font>
  </fonts>
  <fills count="7">
    <fill>
      <patternFill patternType="none"/>
    </fill>
    <fill>
      <patternFill patternType="gray125"/>
    </fill>
    <fill>
      <patternFill patternType="solid">
        <fgColor rgb="FF17365D"/>
      </patternFill>
    </fill>
    <fill>
      <patternFill patternType="solid">
        <fgColor rgb="FF2F75B5"/>
      </patternFill>
    </fill>
    <fill>
      <patternFill patternType="solid">
        <fgColor rgb="FFD9EAF7"/>
      </patternFill>
    </fill>
    <fill>
      <patternFill patternType="solid">
        <fgColor rgb="FFFCE4D6"/>
      </patternFill>
    </fill>
    <fill>
      <patternFill patternType="solid">
        <fgColor rgb="FFE2F0D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3" borderId="0" xfId="0" applyFont="1" applyFill="1" applyAlignment="1">
      <alignment horizontal="center" vertical="center" wrapText="1"/>
    </xf>
    <xf numFmtId="4" fontId="2" fillId="0" borderId="0" xfId="0" applyNumberFormat="1" applyFont="1" applyAlignment="1">
      <alignment wrapText="1"/>
    </xf>
    <xf numFmtId="164" fontId="2" fillId="0" borderId="0" xfId="0" applyNumberFormat="1" applyFont="1" applyAlignment="1">
      <alignment wrapText="1"/>
    </xf>
    <xf numFmtId="0" fontId="2" fillId="0" borderId="0" xfId="0" applyFont="1" applyAlignment="1">
      <alignment wrapText="1"/>
    </xf>
    <xf numFmtId="4" fontId="2" fillId="0" borderId="0" xfId="0" applyNumberFormat="1" applyFont="1"/>
    <xf numFmtId="0" fontId="2" fillId="0" borderId="0" xfId="0" applyFont="1" applyAlignment="1">
      <alignment vertical="center"/>
    </xf>
    <xf numFmtId="0" fontId="2" fillId="0" borderId="0" xfId="0" applyFont="1" applyAlignment="1">
      <alignment vertical="center" wrapText="1"/>
    </xf>
    <xf numFmtId="0" fontId="4" fillId="4" borderId="0" xfId="0" applyFont="1" applyFill="1" applyAlignment="1">
      <alignment wrapText="1"/>
    </xf>
    <xf numFmtId="0" fontId="5" fillId="5" borderId="0" xfId="0" applyFont="1" applyFill="1" applyAlignment="1">
      <alignment vertical="center" wrapText="1"/>
    </xf>
    <xf numFmtId="0" fontId="1" fillId="2" borderId="0" xfId="0" applyFont="1" applyFill="1" applyAlignment="1">
      <alignment vertical="center" wrapText="1"/>
    </xf>
    <xf numFmtId="0" fontId="2" fillId="0" borderId="0" xfId="0" applyFont="1" applyAlignment="1">
      <alignment vertical="top" wrapText="1"/>
    </xf>
    <xf numFmtId="0" fontId="5" fillId="6" borderId="0" xfId="0" applyFont="1" applyFill="1" applyAlignment="1">
      <alignment vertical="center" wrapText="1"/>
    </xf>
  </cellXfs>
  <cellStyles count="1">
    <cellStyle name="Normal" xfId="0" builtinId="0"/>
  </cellStyles>
  <dxfs count="3">
    <dxf>
      <font>
        <b/>
      </font>
      <fill>
        <patternFill patternType="solid">
          <bgColor rgb="FFFCE4D6"/>
        </patternFill>
      </fill>
    </dxf>
    <dxf>
      <font>
        <b/>
      </font>
      <fill>
        <patternFill patternType="solid">
          <bgColor rgb="FFF4CCCC"/>
        </patternFill>
      </fill>
    </dxf>
    <dxf>
      <font>
        <b/>
      </font>
      <fill>
        <patternFill patternType="solid">
          <bgColor rgb="FFE2F0D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c:style val="2"/>
  <c:chart>
    <c:title>
      <c:tx>
        <c:rich>
          <a:bodyPr/>
          <a:lstStyle/>
          <a:p>
            <a:r>
              <a:rPr lang="en-GB"/>
              <a:t>Latest Inventory Value by Plant</a:t>
            </a:r>
          </a:p>
        </c:rich>
      </c:tx>
      <c:overlay val="0"/>
    </c:title>
    <c:autoTitleDeleted val="0"/>
    <c:plotArea>
      <c:layout/>
      <c:barChart>
        <c:barDir val="col"/>
        <c:grouping val="clustered"/>
        <c:varyColors val="0"/>
        <c:ser>
          <c:idx val="0"/>
          <c:order val="0"/>
          <c:tx>
            <c:v>Latest Inventory Value (€)</c:v>
          </c:tx>
          <c:invertIfNegative val="1"/>
          <c:cat>
            <c:strRef>
              <c:f>README!$I$21:$I$22</c:f>
              <c:strCache>
                <c:ptCount val="2"/>
                <c:pt idx="0">
                  <c:v>Vaasa</c:v>
                </c:pt>
                <c:pt idx="1">
                  <c:v>Tampere</c:v>
                </c:pt>
              </c:strCache>
            </c:strRef>
          </c:cat>
          <c:val>
            <c:numRef>
              <c:f>README!$J$21:$J$22</c:f>
              <c:numCache>
                <c:formatCode>#,##0.00</c:formatCode>
                <c:ptCount val="2"/>
                <c:pt idx="0">
                  <c:v>103882</c:v>
                </c:pt>
                <c:pt idx="1">
                  <c:v>95374.5</c:v>
                </c:pt>
              </c:numCache>
            </c:numRef>
          </c:val>
          <c:extLst>
            <c:ext xmlns:c16="http://schemas.microsoft.com/office/drawing/2014/chart" uri="{C3380CC4-5D6E-409C-BE32-E72D297353CC}">
              <c16:uniqueId val="{00000000-8BBA-4375-9D8E-2B3BFCBB022C}"/>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noMultiLvlLbl val="0"/>
      </c:catAx>
      <c:valAx>
        <c:axId val="48672768"/>
        <c:scaling>
          <c:orientation val="minMax"/>
        </c:scaling>
        <c:delete val="0"/>
        <c:axPos val="l"/>
        <c:majorGridlines>
          <c:spPr>
            <a:ln w="9525">
              <a:solidFill>
                <a:srgbClr val="CCCCCC"/>
              </a:solidFill>
              <a:prstDash val="dash"/>
            </a:ln>
          </c:spPr>
        </c:majorGridlines>
        <c:numFmt formatCode="#,##0.00" sourceLinked="1"/>
        <c:majorTickMark val="none"/>
        <c:minorTickMark val="none"/>
        <c:tickLblPos val="nextTo"/>
        <c:crossAx val="48650112"/>
        <c:crosses val="autoZero"/>
        <c:crossBetween val="between"/>
      </c:valAx>
    </c:plotArea>
    <c:plotVisOnly val="1"/>
    <c:dispBlanksAs val="zero"/>
    <c:showDLblsOverMax val="1"/>
  </c:chart>
  <c:spPr>
    <a:ln w="9525">
      <a:solidFill>
        <a:srgbClr val="D9D9D9"/>
      </a:solidFill>
      <a:prstDash val="soli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0</xdr:colOff>
      <xdr:row>24</xdr:row>
      <xdr:rowOff>0</xdr:rowOff>
    </xdr:from>
    <xdr:to>
      <xdr:col>14</xdr:col>
      <xdr:colOff>0</xdr:colOff>
      <xdr:row>40</xdr:row>
      <xdr:rowOff>0</xdr:rowOff>
    </xdr:to>
    <xdr:graphicFrame macro="">
      <xdr:nvGraphicFramePr>
        <xdr:cNvPr id="2" nam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2"/>
  <sheetViews>
    <sheetView topLeftCell="A29" workbookViewId="0">
      <selection activeCell="H22" sqref="H22"/>
    </sheetView>
  </sheetViews>
  <sheetFormatPr defaultRowHeight="15.6"/>
  <cols>
    <col min="1" max="1" width="24" style="1" customWidth="1"/>
    <col min="2" max="3" width="22" style="1" customWidth="1"/>
    <col min="4" max="4" width="24" style="1" customWidth="1"/>
    <col min="5" max="5" width="27" style="1" customWidth="1"/>
    <col min="6" max="6" width="22" style="1" customWidth="1"/>
    <col min="7" max="7" width="24" style="1" customWidth="1"/>
    <col min="8" max="8" width="18" style="1" customWidth="1"/>
    <col min="9" max="9" width="20" style="1" customWidth="1"/>
    <col min="10" max="10" width="24" style="1" customWidth="1"/>
    <col min="11" max="16384" width="8.796875" style="1"/>
  </cols>
  <sheetData>
    <row r="1" spans="1:10" ht="27.15" customHeight="1">
      <c r="A1" s="11" t="s">
        <v>0</v>
      </c>
      <c r="B1" s="11"/>
      <c r="C1" s="11"/>
      <c r="D1" s="11"/>
      <c r="E1" s="11"/>
      <c r="F1" s="11"/>
      <c r="G1" s="11"/>
      <c r="H1" s="11"/>
      <c r="I1" s="11"/>
      <c r="J1" s="11"/>
    </row>
    <row r="3" spans="1:10" ht="23.4" customHeight="1">
      <c r="A3" s="2" t="s">
        <v>1</v>
      </c>
      <c r="B3" s="2" t="s">
        <v>2</v>
      </c>
      <c r="C3" s="2" t="s">
        <v>3</v>
      </c>
      <c r="D3" s="2" t="s">
        <v>4</v>
      </c>
      <c r="E3" s="2" t="s">
        <v>5</v>
      </c>
      <c r="F3" s="2" t="s">
        <v>6</v>
      </c>
      <c r="G3" s="2" t="s">
        <v>7</v>
      </c>
      <c r="H3" s="2" t="s">
        <v>8</v>
      </c>
      <c r="I3" s="2" t="s">
        <v>9</v>
      </c>
      <c r="J3" s="2" t="s">
        <v>10</v>
      </c>
    </row>
    <row r="4" spans="1:10">
      <c r="A4" s="1" t="s">
        <v>11</v>
      </c>
      <c r="B4" s="1" t="s">
        <v>12</v>
      </c>
      <c r="C4" s="1" t="s">
        <v>13</v>
      </c>
      <c r="D4" s="1" t="s">
        <v>14</v>
      </c>
      <c r="E4" s="1" t="s">
        <v>15</v>
      </c>
      <c r="F4" s="1">
        <v>40</v>
      </c>
      <c r="G4" s="1">
        <v>374</v>
      </c>
      <c r="H4" s="1" t="s">
        <v>16</v>
      </c>
      <c r="I4" s="1" t="s">
        <v>17</v>
      </c>
      <c r="J4" s="1" t="s">
        <v>18</v>
      </c>
    </row>
    <row r="6" spans="1:10" ht="17.399999999999999">
      <c r="A6" s="9" t="s">
        <v>19</v>
      </c>
      <c r="B6" s="9"/>
      <c r="C6" s="9"/>
      <c r="D6" s="9"/>
      <c r="E6" s="9"/>
      <c r="F6" s="9"/>
      <c r="G6" s="9"/>
      <c r="H6" s="9"/>
      <c r="I6" s="9"/>
      <c r="J6" s="9"/>
    </row>
    <row r="8" spans="1:10">
      <c r="A8" s="12" t="s">
        <v>20</v>
      </c>
      <c r="B8" s="12"/>
      <c r="C8" s="12"/>
      <c r="D8" s="12"/>
      <c r="E8" s="12"/>
      <c r="F8" s="12"/>
      <c r="G8" s="12"/>
      <c r="H8" s="12"/>
      <c r="I8" s="12"/>
      <c r="J8" s="12"/>
    </row>
    <row r="9" spans="1:10">
      <c r="A9" s="12"/>
      <c r="B9" s="12"/>
      <c r="C9" s="12"/>
      <c r="D9" s="12"/>
      <c r="E9" s="12"/>
      <c r="F9" s="12"/>
      <c r="G9" s="12"/>
      <c r="H9" s="12"/>
      <c r="I9" s="12"/>
      <c r="J9" s="12"/>
    </row>
    <row r="11" spans="1:10" ht="17.399999999999999">
      <c r="A11" s="9" t="s">
        <v>21</v>
      </c>
      <c r="B11" s="9"/>
      <c r="C11" s="9"/>
      <c r="D11" s="9"/>
      <c r="E11" s="9"/>
      <c r="F11" s="9"/>
      <c r="G11" s="9"/>
      <c r="H11" s="9"/>
      <c r="I11" s="9"/>
      <c r="J11" s="9"/>
    </row>
    <row r="13" spans="1:10">
      <c r="A13" s="2" t="s">
        <v>22</v>
      </c>
      <c r="B13" s="2" t="s">
        <v>23</v>
      </c>
      <c r="C13" s="2" t="s">
        <v>24</v>
      </c>
      <c r="D13" s="2" t="s">
        <v>25</v>
      </c>
      <c r="E13" s="2" t="s">
        <v>26</v>
      </c>
      <c r="F13" s="2" t="s">
        <v>27</v>
      </c>
      <c r="G13" s="2" t="s">
        <v>28</v>
      </c>
      <c r="H13" s="2" t="s">
        <v>29</v>
      </c>
      <c r="I13" s="2" t="s">
        <v>30</v>
      </c>
      <c r="J13" s="2" t="s">
        <v>31</v>
      </c>
    </row>
    <row r="14" spans="1:10">
      <c r="A14" s="1" t="s">
        <v>32</v>
      </c>
      <c r="B14" s="1" t="s">
        <v>33</v>
      </c>
      <c r="C14" s="1" t="s">
        <v>34</v>
      </c>
      <c r="D14" s="1" t="s">
        <v>35</v>
      </c>
      <c r="E14" s="1" t="s">
        <v>36</v>
      </c>
      <c r="F14" s="1" t="s">
        <v>37</v>
      </c>
      <c r="G14" s="1" t="s">
        <v>38</v>
      </c>
      <c r="H14" s="1" t="s">
        <v>39</v>
      </c>
      <c r="I14" s="1" t="s">
        <v>40</v>
      </c>
      <c r="J14" s="1" t="s">
        <v>41</v>
      </c>
    </row>
    <row r="18" spans="1:10" ht="17.399999999999999">
      <c r="A18" s="9" t="s">
        <v>42</v>
      </c>
      <c r="B18" s="9"/>
      <c r="C18" s="9"/>
      <c r="D18" s="9"/>
      <c r="E18" s="9"/>
      <c r="F18" s="9"/>
      <c r="G18" s="9"/>
      <c r="H18" s="9"/>
      <c r="I18" s="9"/>
      <c r="J18" s="9"/>
    </row>
    <row r="20" spans="1:10">
      <c r="A20" s="2" t="s">
        <v>43</v>
      </c>
      <c r="B20" s="2" t="s">
        <v>44</v>
      </c>
      <c r="C20" s="2" t="s">
        <v>45</v>
      </c>
      <c r="D20" s="2" t="s">
        <v>46</v>
      </c>
      <c r="E20" s="2" t="s">
        <v>47</v>
      </c>
      <c r="F20" s="2" t="s">
        <v>48</v>
      </c>
      <c r="G20" s="2" t="s">
        <v>49</v>
      </c>
      <c r="I20" s="2" t="s">
        <v>50</v>
      </c>
      <c r="J20" s="2" t="s">
        <v>43</v>
      </c>
    </row>
    <row r="21" spans="1:10">
      <c r="A21" s="3">
        <v>199256.5</v>
      </c>
      <c r="B21" s="4">
        <v>45.8</v>
      </c>
      <c r="C21" s="4">
        <v>26.7</v>
      </c>
      <c r="D21" s="5">
        <v>9</v>
      </c>
      <c r="E21" s="5">
        <v>7</v>
      </c>
      <c r="F21" s="5">
        <v>40</v>
      </c>
      <c r="G21" s="5">
        <v>374</v>
      </c>
      <c r="I21" s="1" t="s">
        <v>51</v>
      </c>
      <c r="J21" s="6">
        <v>103882</v>
      </c>
    </row>
    <row r="22" spans="1:10">
      <c r="A22" s="5" t="s">
        <v>52</v>
      </c>
      <c r="B22" s="5" t="s">
        <v>52</v>
      </c>
      <c r="C22" s="5" t="s">
        <v>52</v>
      </c>
      <c r="D22" s="5" t="s">
        <v>52</v>
      </c>
      <c r="E22" s="5" t="s">
        <v>53</v>
      </c>
      <c r="F22" s="5" t="s">
        <v>54</v>
      </c>
      <c r="G22" s="5" t="s">
        <v>55</v>
      </c>
      <c r="I22" s="1" t="s">
        <v>56</v>
      </c>
      <c r="J22" s="6">
        <v>95374.5</v>
      </c>
    </row>
    <row r="23" spans="1:10">
      <c r="I23" s="1" t="s">
        <v>57</v>
      </c>
      <c r="J23" s="6">
        <v>199256.5</v>
      </c>
    </row>
    <row r="25" spans="1:10" ht="17.399999999999999">
      <c r="A25" s="9" t="s">
        <v>58</v>
      </c>
      <c r="B25" s="9"/>
      <c r="C25" s="9"/>
      <c r="D25" s="9"/>
      <c r="E25" s="9"/>
      <c r="F25" s="9"/>
      <c r="G25" s="9"/>
    </row>
    <row r="27" spans="1:10">
      <c r="A27" s="2" t="s">
        <v>59</v>
      </c>
      <c r="B27" s="2" t="s">
        <v>60</v>
      </c>
      <c r="C27" s="2" t="s">
        <v>3</v>
      </c>
      <c r="D27" s="2" t="s">
        <v>61</v>
      </c>
      <c r="E27" s="2" t="s">
        <v>62</v>
      </c>
      <c r="F27" s="2" t="s">
        <v>63</v>
      </c>
      <c r="G27" s="2" t="s">
        <v>64</v>
      </c>
    </row>
    <row r="28" spans="1:10" ht="46.8">
      <c r="A28" s="5" t="s">
        <v>65</v>
      </c>
      <c r="B28" s="5" t="s">
        <v>66</v>
      </c>
      <c r="C28" s="5" t="s">
        <v>13</v>
      </c>
      <c r="D28" s="5" t="s">
        <v>67</v>
      </c>
      <c r="E28" s="5" t="s">
        <v>68</v>
      </c>
      <c r="F28" s="5" t="s">
        <v>69</v>
      </c>
      <c r="G28" s="5" t="s">
        <v>70</v>
      </c>
    </row>
    <row r="29" spans="1:10" ht="31.2">
      <c r="A29" s="5" t="s">
        <v>71</v>
      </c>
      <c r="B29" s="5" t="s">
        <v>72</v>
      </c>
      <c r="C29" s="5" t="s">
        <v>13</v>
      </c>
      <c r="D29" s="5" t="s">
        <v>73</v>
      </c>
      <c r="E29" s="5" t="s">
        <v>74</v>
      </c>
      <c r="F29" s="5" t="s">
        <v>75</v>
      </c>
      <c r="G29" s="5" t="s">
        <v>76</v>
      </c>
    </row>
    <row r="30" spans="1:10" ht="31.2">
      <c r="A30" s="5" t="s">
        <v>77</v>
      </c>
      <c r="B30" s="5" t="s">
        <v>78</v>
      </c>
      <c r="C30" s="5" t="s">
        <v>13</v>
      </c>
      <c r="D30" s="5" t="s">
        <v>79</v>
      </c>
      <c r="E30" s="5" t="s">
        <v>80</v>
      </c>
      <c r="F30" s="5" t="s">
        <v>75</v>
      </c>
      <c r="G30" s="5" t="s">
        <v>76</v>
      </c>
    </row>
    <row r="31" spans="1:10" ht="31.2">
      <c r="A31" s="5" t="s">
        <v>81</v>
      </c>
      <c r="B31" s="5" t="s">
        <v>82</v>
      </c>
      <c r="C31" s="5" t="s">
        <v>13</v>
      </c>
      <c r="D31" s="5" t="s">
        <v>83</v>
      </c>
      <c r="E31" s="5" t="s">
        <v>84</v>
      </c>
      <c r="F31" s="5" t="s">
        <v>75</v>
      </c>
      <c r="G31" s="5" t="s">
        <v>76</v>
      </c>
    </row>
    <row r="32" spans="1:10" ht="31.2">
      <c r="A32" s="5" t="s">
        <v>85</v>
      </c>
      <c r="B32" s="5" t="s">
        <v>86</v>
      </c>
      <c r="C32" s="5" t="s">
        <v>13</v>
      </c>
      <c r="D32" s="5" t="s">
        <v>87</v>
      </c>
      <c r="E32" s="5" t="s">
        <v>88</v>
      </c>
      <c r="F32" s="5" t="s">
        <v>89</v>
      </c>
      <c r="G32" s="5" t="s">
        <v>90</v>
      </c>
    </row>
    <row r="33" spans="1:7" ht="46.8">
      <c r="A33" s="5" t="s">
        <v>91</v>
      </c>
      <c r="B33" s="5" t="s">
        <v>92</v>
      </c>
      <c r="C33" s="5" t="s">
        <v>13</v>
      </c>
      <c r="D33" s="5" t="s">
        <v>93</v>
      </c>
      <c r="E33" s="5" t="s">
        <v>94</v>
      </c>
      <c r="F33" s="5" t="s">
        <v>95</v>
      </c>
      <c r="G33" s="5" t="s">
        <v>96</v>
      </c>
    </row>
    <row r="34" spans="1:7" ht="31.2">
      <c r="A34" s="5" t="s">
        <v>97</v>
      </c>
      <c r="B34" s="5" t="s">
        <v>98</v>
      </c>
      <c r="C34" s="5" t="s">
        <v>13</v>
      </c>
      <c r="D34" s="5" t="s">
        <v>99</v>
      </c>
      <c r="E34" s="5" t="s">
        <v>100</v>
      </c>
      <c r="F34" s="5" t="s">
        <v>101</v>
      </c>
      <c r="G34" s="5" t="s">
        <v>102</v>
      </c>
    </row>
    <row r="35" spans="1:7">
      <c r="A35" s="5" t="s">
        <v>103</v>
      </c>
      <c r="B35" s="5" t="s">
        <v>104</v>
      </c>
      <c r="C35" s="5" t="s">
        <v>105</v>
      </c>
      <c r="D35" s="5" t="s">
        <v>106</v>
      </c>
      <c r="E35" s="5" t="s">
        <v>107</v>
      </c>
      <c r="F35" s="5" t="s">
        <v>108</v>
      </c>
      <c r="G35" s="5" t="s">
        <v>109</v>
      </c>
    </row>
    <row r="38" spans="1:7" ht="17.399999999999999">
      <c r="A38" s="9" t="s">
        <v>110</v>
      </c>
      <c r="B38" s="9"/>
      <c r="C38" s="9"/>
      <c r="D38" s="9"/>
      <c r="E38" s="9"/>
      <c r="F38" s="9"/>
      <c r="G38" s="9"/>
    </row>
    <row r="40" spans="1:7">
      <c r="A40" s="10" t="s">
        <v>111</v>
      </c>
      <c r="B40" s="10"/>
      <c r="C40" s="10"/>
      <c r="D40" s="10"/>
      <c r="E40" s="10"/>
      <c r="F40" s="10"/>
      <c r="G40" s="10"/>
    </row>
    <row r="41" spans="1:7">
      <c r="A41" s="10"/>
      <c r="B41" s="10"/>
      <c r="C41" s="10"/>
      <c r="D41" s="10"/>
      <c r="E41" s="10"/>
      <c r="F41" s="10"/>
      <c r="G41" s="10"/>
    </row>
    <row r="42" spans="1:7">
      <c r="A42" s="10"/>
      <c r="B42" s="10"/>
      <c r="C42" s="10"/>
      <c r="D42" s="10"/>
      <c r="E42" s="10"/>
      <c r="F42" s="10"/>
      <c r="G42" s="10"/>
    </row>
  </sheetData>
  <mergeCells count="8">
    <mergeCell ref="A25:G25"/>
    <mergeCell ref="A38:G38"/>
    <mergeCell ref="A40:G42"/>
    <mergeCell ref="A1:J1"/>
    <mergeCell ref="A6:J6"/>
    <mergeCell ref="A8:J9"/>
    <mergeCell ref="A11:J11"/>
    <mergeCell ref="A18:J1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1"/>
  <sheetViews>
    <sheetView workbookViewId="0">
      <selection activeCell="D4" sqref="D4"/>
    </sheetView>
  </sheetViews>
  <sheetFormatPr defaultRowHeight="15.6"/>
  <cols>
    <col min="1" max="1" width="23" style="1" customWidth="1"/>
    <col min="2" max="2" width="14" style="1" customWidth="1"/>
    <col min="3" max="3" width="34" style="1" customWidth="1"/>
    <col min="4" max="4" width="20.796875" style="1" customWidth="1"/>
    <col min="5" max="5" width="28" style="1" customWidth="1"/>
    <col min="6" max="6" width="34" style="1" customWidth="1"/>
    <col min="7" max="7" width="16" style="1" customWidth="1"/>
    <col min="8" max="8" width="18" style="1" customWidth="1"/>
    <col min="9" max="16384" width="8.796875" style="1"/>
  </cols>
  <sheetData>
    <row r="1" spans="1:8" ht="27.15" customHeight="1">
      <c r="A1" s="11" t="s">
        <v>112</v>
      </c>
      <c r="B1" s="11"/>
      <c r="C1" s="11"/>
      <c r="D1" s="11"/>
      <c r="E1" s="11"/>
      <c r="F1" s="11"/>
      <c r="G1" s="11"/>
      <c r="H1" s="11"/>
    </row>
    <row r="3" spans="1:8" ht="23.4" customHeight="1">
      <c r="A3" s="2" t="s">
        <v>113</v>
      </c>
      <c r="B3" s="2" t="s">
        <v>7</v>
      </c>
      <c r="C3" s="2" t="s">
        <v>114</v>
      </c>
      <c r="D3" s="2" t="s">
        <v>115</v>
      </c>
      <c r="E3" s="2" t="s">
        <v>116</v>
      </c>
      <c r="F3" s="2" t="s">
        <v>117</v>
      </c>
      <c r="G3" s="2" t="s">
        <v>118</v>
      </c>
      <c r="H3" s="2" t="s">
        <v>119</v>
      </c>
    </row>
    <row r="4" spans="1:8" ht="46.8">
      <c r="A4" s="5" t="s">
        <v>120</v>
      </c>
      <c r="B4" s="5">
        <v>20</v>
      </c>
      <c r="C4" s="5" t="s">
        <v>121</v>
      </c>
      <c r="D4" s="5" t="s">
        <v>122</v>
      </c>
      <c r="E4" s="5" t="s">
        <v>123</v>
      </c>
      <c r="F4" s="5" t="s">
        <v>121</v>
      </c>
      <c r="G4" s="5" t="s">
        <v>124</v>
      </c>
      <c r="H4" s="5" t="s">
        <v>125</v>
      </c>
    </row>
    <row r="5" spans="1:8" ht="31.2">
      <c r="A5" s="5" t="s">
        <v>126</v>
      </c>
      <c r="B5" s="5">
        <v>8</v>
      </c>
      <c r="C5" s="5" t="s">
        <v>127</v>
      </c>
      <c r="D5" s="5" t="s">
        <v>122</v>
      </c>
      <c r="E5" s="5" t="s">
        <v>120</v>
      </c>
      <c r="F5" s="5" t="s">
        <v>128</v>
      </c>
      <c r="G5" s="5" t="s">
        <v>124</v>
      </c>
      <c r="H5" s="5" t="s">
        <v>129</v>
      </c>
    </row>
    <row r="6" spans="1:8" ht="31.2">
      <c r="A6" s="5" t="s">
        <v>130</v>
      </c>
      <c r="B6" s="5">
        <v>3</v>
      </c>
      <c r="C6" s="5" t="s">
        <v>131</v>
      </c>
      <c r="D6" s="5" t="s">
        <v>132</v>
      </c>
      <c r="E6" s="5" t="s">
        <v>123</v>
      </c>
      <c r="F6" s="5" t="s">
        <v>131</v>
      </c>
      <c r="G6" s="5" t="s">
        <v>124</v>
      </c>
      <c r="H6" s="5" t="s">
        <v>133</v>
      </c>
    </row>
    <row r="7" spans="1:8" ht="31.2">
      <c r="A7" s="5" t="s">
        <v>134</v>
      </c>
      <c r="B7" s="5">
        <v>33</v>
      </c>
      <c r="C7" s="5" t="s">
        <v>135</v>
      </c>
      <c r="D7" s="5" t="s">
        <v>122</v>
      </c>
      <c r="E7" s="5" t="s">
        <v>120</v>
      </c>
      <c r="F7" s="5" t="s">
        <v>136</v>
      </c>
      <c r="G7" s="5" t="s">
        <v>137</v>
      </c>
      <c r="H7" s="5" t="s">
        <v>138</v>
      </c>
    </row>
    <row r="8" spans="1:8" ht="31.2">
      <c r="A8" s="5" t="s">
        <v>123</v>
      </c>
      <c r="B8" s="5">
        <v>271</v>
      </c>
      <c r="C8" s="5" t="s">
        <v>139</v>
      </c>
      <c r="D8" s="5" t="s">
        <v>140</v>
      </c>
      <c r="E8" s="5" t="s">
        <v>141</v>
      </c>
      <c r="F8" s="5" t="s">
        <v>142</v>
      </c>
      <c r="G8" s="5" t="s">
        <v>137</v>
      </c>
      <c r="H8" s="5" t="s">
        <v>143</v>
      </c>
    </row>
    <row r="9" spans="1:8" ht="46.8">
      <c r="A9" s="5" t="s">
        <v>144</v>
      </c>
      <c r="B9" s="5">
        <v>24</v>
      </c>
      <c r="C9" s="5" t="s">
        <v>145</v>
      </c>
      <c r="D9" s="5" t="s">
        <v>146</v>
      </c>
      <c r="E9" s="5" t="s">
        <v>147</v>
      </c>
      <c r="F9" s="5" t="s">
        <v>148</v>
      </c>
      <c r="G9" s="5" t="s">
        <v>137</v>
      </c>
      <c r="H9" s="5" t="s">
        <v>149</v>
      </c>
    </row>
    <row r="11" spans="1:8" ht="17.399999999999999">
      <c r="A11" s="9" t="s">
        <v>151</v>
      </c>
      <c r="B11" s="9"/>
      <c r="C11" s="9"/>
      <c r="D11" s="9"/>
      <c r="E11" s="9"/>
      <c r="F11" s="9"/>
      <c r="G11" s="9"/>
      <c r="H11" s="9"/>
    </row>
    <row r="13" spans="1:8">
      <c r="A13" s="2" t="s">
        <v>152</v>
      </c>
      <c r="B13" s="2" t="s">
        <v>153</v>
      </c>
      <c r="C13" s="2" t="s">
        <v>154</v>
      </c>
      <c r="D13" s="2" t="s">
        <v>155</v>
      </c>
      <c r="E13" s="2" t="s">
        <v>156</v>
      </c>
      <c r="F13" s="2" t="s">
        <v>157</v>
      </c>
    </row>
    <row r="14" spans="1:8" ht="15.6" customHeight="1">
      <c r="A14" s="5" t="s">
        <v>126</v>
      </c>
      <c r="B14" s="5" t="s">
        <v>127</v>
      </c>
      <c r="C14" s="5" t="s">
        <v>120</v>
      </c>
      <c r="D14" s="5" t="s">
        <v>128</v>
      </c>
      <c r="E14" s="5" t="s">
        <v>124</v>
      </c>
      <c r="F14" s="5" t="s">
        <v>158</v>
      </c>
    </row>
    <row r="15" spans="1:8">
      <c r="A15" s="5" t="s">
        <v>126</v>
      </c>
      <c r="B15" s="5" t="s">
        <v>127</v>
      </c>
      <c r="C15" s="5" t="s">
        <v>144</v>
      </c>
      <c r="D15" s="5" t="s">
        <v>127</v>
      </c>
      <c r="E15" s="5" t="s">
        <v>124</v>
      </c>
      <c r="F15" s="5" t="s">
        <v>159</v>
      </c>
    </row>
    <row r="16" spans="1:8">
      <c r="A16" s="5" t="s">
        <v>130</v>
      </c>
      <c r="B16" s="5" t="s">
        <v>131</v>
      </c>
      <c r="C16" s="5" t="s">
        <v>123</v>
      </c>
      <c r="D16" s="5" t="s">
        <v>131</v>
      </c>
      <c r="E16" s="5" t="s">
        <v>124</v>
      </c>
      <c r="F16" s="5" t="s">
        <v>160</v>
      </c>
    </row>
    <row r="17" spans="1:8">
      <c r="A17" s="5" t="s">
        <v>130</v>
      </c>
      <c r="B17" s="5" t="s">
        <v>131</v>
      </c>
      <c r="C17" s="5" t="s">
        <v>144</v>
      </c>
      <c r="D17" s="5" t="s">
        <v>131</v>
      </c>
      <c r="E17" s="5" t="s">
        <v>124</v>
      </c>
      <c r="F17" s="5" t="s">
        <v>161</v>
      </c>
    </row>
    <row r="18" spans="1:8">
      <c r="A18" s="5" t="s">
        <v>130</v>
      </c>
      <c r="B18" s="5" t="s">
        <v>131</v>
      </c>
      <c r="C18" s="5" t="s">
        <v>150</v>
      </c>
      <c r="D18" s="5" t="s">
        <v>131</v>
      </c>
      <c r="E18" s="5" t="s">
        <v>124</v>
      </c>
      <c r="F18" s="5" t="s">
        <v>162</v>
      </c>
    </row>
    <row r="19" spans="1:8">
      <c r="A19" s="5" t="s">
        <v>120</v>
      </c>
      <c r="B19" s="5" t="s">
        <v>121</v>
      </c>
      <c r="C19" s="5" t="s">
        <v>123</v>
      </c>
      <c r="D19" s="5" t="s">
        <v>121</v>
      </c>
      <c r="E19" s="5" t="s">
        <v>124</v>
      </c>
      <c r="F19" s="5" t="s">
        <v>163</v>
      </c>
    </row>
    <row r="20" spans="1:8">
      <c r="A20" s="5" t="s">
        <v>120</v>
      </c>
      <c r="B20" s="5" t="s">
        <v>121</v>
      </c>
      <c r="C20" s="5" t="s">
        <v>144</v>
      </c>
      <c r="D20" s="5" t="s">
        <v>121</v>
      </c>
      <c r="E20" s="5" t="s">
        <v>124</v>
      </c>
      <c r="F20" s="5" t="s">
        <v>164</v>
      </c>
    </row>
    <row r="21" spans="1:8" ht="15.6" customHeight="1">
      <c r="A21" s="5" t="s">
        <v>120</v>
      </c>
      <c r="B21" s="5" t="s">
        <v>121</v>
      </c>
      <c r="C21" s="5" t="s">
        <v>134</v>
      </c>
      <c r="D21" s="5" t="s">
        <v>165</v>
      </c>
      <c r="E21" s="5" t="s">
        <v>124</v>
      </c>
      <c r="F21" s="5" t="s">
        <v>166</v>
      </c>
    </row>
    <row r="22" spans="1:8" ht="15.6" customHeight="1">
      <c r="A22" s="5" t="s">
        <v>120</v>
      </c>
      <c r="B22" s="5" t="s">
        <v>121</v>
      </c>
      <c r="C22" s="5" t="s">
        <v>134</v>
      </c>
      <c r="D22" s="5" t="s">
        <v>167</v>
      </c>
      <c r="E22" s="5" t="s">
        <v>124</v>
      </c>
      <c r="F22" s="5" t="s">
        <v>168</v>
      </c>
    </row>
    <row r="23" spans="1:8">
      <c r="A23" s="5" t="s">
        <v>120</v>
      </c>
      <c r="B23" s="5" t="s">
        <v>121</v>
      </c>
      <c r="C23" s="5" t="s">
        <v>150</v>
      </c>
      <c r="D23" s="5" t="s">
        <v>167</v>
      </c>
      <c r="E23" s="5" t="s">
        <v>124</v>
      </c>
      <c r="F23" s="5" t="s">
        <v>169</v>
      </c>
    </row>
    <row r="26" spans="1:8" ht="17.399999999999999">
      <c r="A26" s="9" t="s">
        <v>170</v>
      </c>
      <c r="B26" s="9"/>
      <c r="C26" s="9"/>
      <c r="D26" s="9"/>
      <c r="E26" s="9"/>
      <c r="F26" s="9"/>
      <c r="G26" s="9"/>
      <c r="H26" s="9"/>
    </row>
    <row r="28" spans="1:8">
      <c r="A28" s="13" t="s">
        <v>171</v>
      </c>
      <c r="B28" s="13"/>
      <c r="C28" s="13"/>
      <c r="D28" s="13"/>
      <c r="E28" s="13"/>
      <c r="F28" s="13"/>
      <c r="G28" s="13"/>
      <c r="H28" s="13"/>
    </row>
    <row r="29" spans="1:8">
      <c r="A29" s="13"/>
      <c r="B29" s="13"/>
      <c r="C29" s="13"/>
      <c r="D29" s="13"/>
      <c r="E29" s="13"/>
      <c r="F29" s="13"/>
      <c r="G29" s="13"/>
      <c r="H29" s="13"/>
    </row>
    <row r="30" spans="1:8">
      <c r="A30" s="13"/>
      <c r="B30" s="13"/>
      <c r="C30" s="13"/>
      <c r="D30" s="13"/>
      <c r="E30" s="13"/>
      <c r="F30" s="13"/>
      <c r="G30" s="13"/>
      <c r="H30" s="13"/>
    </row>
    <row r="39" spans="1:7">
      <c r="A39" s="7"/>
      <c r="B39" s="7"/>
      <c r="C39" s="7"/>
      <c r="D39" s="7"/>
      <c r="E39" s="7"/>
      <c r="F39" s="7"/>
      <c r="G39" s="7"/>
    </row>
    <row r="40" spans="1:7">
      <c r="A40" s="7"/>
      <c r="B40" s="7"/>
      <c r="C40" s="7"/>
      <c r="D40" s="7"/>
      <c r="E40" s="7"/>
      <c r="F40" s="7"/>
      <c r="G40" s="7"/>
    </row>
    <row r="41" spans="1:7">
      <c r="A41" s="7"/>
      <c r="B41" s="7"/>
      <c r="C41" s="7"/>
      <c r="D41" s="7"/>
      <c r="E41" s="7"/>
      <c r="F41" s="7"/>
      <c r="G41" s="7"/>
    </row>
  </sheetData>
  <mergeCells count="4">
    <mergeCell ref="A1:H1"/>
    <mergeCell ref="A11:H11"/>
    <mergeCell ref="A26:H26"/>
    <mergeCell ref="A28:H3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43"/>
  <sheetViews>
    <sheetView tabSelected="1" workbookViewId="0">
      <selection activeCell="B64" sqref="B64"/>
    </sheetView>
  </sheetViews>
  <sheetFormatPr defaultRowHeight="15.6"/>
  <cols>
    <col min="1" max="1" width="10" style="1" customWidth="1"/>
    <col min="2" max="2" width="20" style="1" customWidth="1"/>
    <col min="3" max="3" width="48" style="1" customWidth="1"/>
    <col min="4" max="4" width="31" style="1" customWidth="1"/>
    <col min="5" max="5" width="50.296875" style="1" customWidth="1"/>
    <col min="6" max="6" width="12" style="1" customWidth="1"/>
    <col min="7" max="7" width="28" style="1" customWidth="1"/>
    <col min="8" max="8" width="18" style="1" customWidth="1"/>
    <col min="9" max="16384" width="8.796875" style="1"/>
  </cols>
  <sheetData>
    <row r="1" spans="1:7" ht="27.15" customHeight="1">
      <c r="A1" s="11" t="s">
        <v>172</v>
      </c>
      <c r="B1" s="11"/>
      <c r="C1" s="11"/>
      <c r="D1" s="11"/>
      <c r="E1" s="11"/>
      <c r="F1" s="11"/>
      <c r="G1" s="11"/>
    </row>
    <row r="3" spans="1:7" ht="23.4" customHeight="1">
      <c r="A3" s="2" t="s">
        <v>173</v>
      </c>
      <c r="B3" s="2" t="s">
        <v>174</v>
      </c>
      <c r="C3" s="2" t="s">
        <v>175</v>
      </c>
      <c r="D3" s="2" t="s">
        <v>176</v>
      </c>
      <c r="E3" s="2" t="s">
        <v>177</v>
      </c>
      <c r="F3" s="2" t="s">
        <v>178</v>
      </c>
      <c r="G3" s="2" t="s">
        <v>179</v>
      </c>
    </row>
    <row r="4" spans="1:7" s="7" customFormat="1" ht="31.2">
      <c r="A4" s="8" t="s">
        <v>180</v>
      </c>
      <c r="B4" s="8" t="s">
        <v>181</v>
      </c>
      <c r="C4" s="8" t="s">
        <v>182</v>
      </c>
      <c r="D4" s="8" t="s">
        <v>183</v>
      </c>
      <c r="E4" s="8" t="s">
        <v>184</v>
      </c>
      <c r="F4" s="8" t="s">
        <v>185</v>
      </c>
      <c r="G4" s="8" t="s">
        <v>186</v>
      </c>
    </row>
    <row r="5" spans="1:7" s="7" customFormat="1" ht="31.2">
      <c r="A5" s="8" t="s">
        <v>187</v>
      </c>
      <c r="B5" s="8" t="s">
        <v>181</v>
      </c>
      <c r="C5" s="8" t="s">
        <v>188</v>
      </c>
      <c r="D5" s="8" t="s">
        <v>189</v>
      </c>
      <c r="E5" s="8" t="s">
        <v>190</v>
      </c>
      <c r="F5" s="8" t="s">
        <v>185</v>
      </c>
      <c r="G5" s="8" t="s">
        <v>186</v>
      </c>
    </row>
    <row r="6" spans="1:7" s="7" customFormat="1" ht="31.2">
      <c r="A6" s="8" t="s">
        <v>191</v>
      </c>
      <c r="B6" s="8" t="s">
        <v>181</v>
      </c>
      <c r="C6" s="8" t="s">
        <v>192</v>
      </c>
      <c r="D6" s="8" t="s">
        <v>193</v>
      </c>
      <c r="E6" s="8" t="s">
        <v>194</v>
      </c>
      <c r="F6" s="8" t="s">
        <v>185</v>
      </c>
      <c r="G6" s="8" t="s">
        <v>186</v>
      </c>
    </row>
    <row r="7" spans="1:7" s="7" customFormat="1" ht="31.2">
      <c r="A7" s="8" t="s">
        <v>195</v>
      </c>
      <c r="B7" s="8" t="s">
        <v>181</v>
      </c>
      <c r="C7" s="8" t="s">
        <v>196</v>
      </c>
      <c r="D7" s="8" t="s">
        <v>197</v>
      </c>
      <c r="E7" s="8" t="s">
        <v>198</v>
      </c>
      <c r="F7" s="8" t="s">
        <v>185</v>
      </c>
      <c r="G7" s="8" t="s">
        <v>186</v>
      </c>
    </row>
    <row r="8" spans="1:7" s="7" customFormat="1" ht="31.2">
      <c r="A8" s="8" t="s">
        <v>199</v>
      </c>
      <c r="B8" s="8" t="s">
        <v>181</v>
      </c>
      <c r="C8" s="8" t="s">
        <v>200</v>
      </c>
      <c r="D8" s="8" t="s">
        <v>201</v>
      </c>
      <c r="E8" s="8" t="s">
        <v>202</v>
      </c>
      <c r="F8" s="8" t="s">
        <v>185</v>
      </c>
      <c r="G8" s="8" t="s">
        <v>186</v>
      </c>
    </row>
    <row r="9" spans="1:7" s="7" customFormat="1" ht="31.2">
      <c r="A9" s="8" t="s">
        <v>203</v>
      </c>
      <c r="B9" s="8" t="s">
        <v>204</v>
      </c>
      <c r="C9" s="8" t="s">
        <v>205</v>
      </c>
      <c r="D9" s="8" t="s">
        <v>206</v>
      </c>
      <c r="E9" s="8" t="s">
        <v>207</v>
      </c>
      <c r="F9" s="8" t="s">
        <v>185</v>
      </c>
      <c r="G9" s="8" t="s">
        <v>208</v>
      </c>
    </row>
    <row r="10" spans="1:7" s="7" customFormat="1">
      <c r="A10" s="8" t="s">
        <v>209</v>
      </c>
      <c r="B10" s="8" t="s">
        <v>204</v>
      </c>
      <c r="C10" s="8" t="s">
        <v>210</v>
      </c>
      <c r="D10" s="8" t="s">
        <v>211</v>
      </c>
      <c r="E10" s="8" t="s">
        <v>212</v>
      </c>
      <c r="F10" s="8" t="s">
        <v>185</v>
      </c>
      <c r="G10" s="8" t="s">
        <v>208</v>
      </c>
    </row>
    <row r="11" spans="1:7" s="7" customFormat="1" ht="31.2">
      <c r="A11" s="8" t="s">
        <v>213</v>
      </c>
      <c r="B11" s="8" t="s">
        <v>204</v>
      </c>
      <c r="C11" s="8" t="s">
        <v>214</v>
      </c>
      <c r="D11" s="8" t="s">
        <v>215</v>
      </c>
      <c r="E11" s="8" t="s">
        <v>216</v>
      </c>
      <c r="F11" s="8" t="s">
        <v>185</v>
      </c>
      <c r="G11" s="8" t="s">
        <v>208</v>
      </c>
    </row>
    <row r="12" spans="1:7" s="7" customFormat="1" ht="31.2">
      <c r="A12" s="8" t="s">
        <v>217</v>
      </c>
      <c r="B12" s="8" t="s">
        <v>204</v>
      </c>
      <c r="C12" s="8" t="s">
        <v>218</v>
      </c>
      <c r="D12" s="8" t="s">
        <v>211</v>
      </c>
      <c r="E12" s="8" t="s">
        <v>219</v>
      </c>
      <c r="F12" s="8" t="s">
        <v>185</v>
      </c>
      <c r="G12" s="8" t="s">
        <v>208</v>
      </c>
    </row>
    <row r="13" spans="1:7" s="7" customFormat="1" ht="31.2">
      <c r="A13" s="8" t="s">
        <v>220</v>
      </c>
      <c r="B13" s="8" t="s">
        <v>204</v>
      </c>
      <c r="C13" s="8" t="s">
        <v>221</v>
      </c>
      <c r="D13" s="8" t="s">
        <v>222</v>
      </c>
      <c r="E13" s="8" t="s">
        <v>223</v>
      </c>
      <c r="F13" s="8" t="s">
        <v>185</v>
      </c>
      <c r="G13" s="8" t="s">
        <v>208</v>
      </c>
    </row>
    <row r="14" spans="1:7" s="7" customFormat="1" ht="31.2">
      <c r="A14" s="8" t="s">
        <v>224</v>
      </c>
      <c r="B14" s="8" t="s">
        <v>204</v>
      </c>
      <c r="C14" s="8" t="s">
        <v>225</v>
      </c>
      <c r="D14" s="8" t="s">
        <v>226</v>
      </c>
      <c r="E14" s="8" t="s">
        <v>227</v>
      </c>
      <c r="F14" s="8" t="s">
        <v>185</v>
      </c>
      <c r="G14" s="8" t="s">
        <v>208</v>
      </c>
    </row>
    <row r="15" spans="1:7" s="7" customFormat="1" ht="31.2">
      <c r="A15" s="8" t="s">
        <v>228</v>
      </c>
      <c r="B15" s="8" t="s">
        <v>204</v>
      </c>
      <c r="C15" s="8" t="s">
        <v>229</v>
      </c>
      <c r="D15" s="8" t="s">
        <v>230</v>
      </c>
      <c r="E15" s="8" t="s">
        <v>231</v>
      </c>
      <c r="F15" s="8" t="s">
        <v>185</v>
      </c>
      <c r="G15" s="8" t="s">
        <v>208</v>
      </c>
    </row>
    <row r="16" spans="1:7" s="7" customFormat="1" ht="31.2">
      <c r="A16" s="8" t="s">
        <v>232</v>
      </c>
      <c r="B16" s="8" t="s">
        <v>204</v>
      </c>
      <c r="C16" s="8" t="s">
        <v>233</v>
      </c>
      <c r="D16" s="8" t="s">
        <v>211</v>
      </c>
      <c r="E16" s="8" t="s">
        <v>234</v>
      </c>
      <c r="F16" s="8" t="s">
        <v>185</v>
      </c>
      <c r="G16" s="8" t="s">
        <v>208</v>
      </c>
    </row>
    <row r="17" spans="1:7" s="7" customFormat="1" ht="31.2">
      <c r="A17" s="8" t="s">
        <v>235</v>
      </c>
      <c r="B17" s="8" t="s">
        <v>204</v>
      </c>
      <c r="C17" s="8" t="s">
        <v>236</v>
      </c>
      <c r="D17" s="8" t="s">
        <v>237</v>
      </c>
      <c r="E17" s="8" t="s">
        <v>238</v>
      </c>
      <c r="F17" s="8" t="s">
        <v>185</v>
      </c>
      <c r="G17" s="8" t="s">
        <v>208</v>
      </c>
    </row>
    <row r="18" spans="1:7" s="7" customFormat="1" ht="31.2">
      <c r="A18" s="8" t="s">
        <v>239</v>
      </c>
      <c r="B18" s="8" t="s">
        <v>204</v>
      </c>
      <c r="C18" s="8" t="s">
        <v>240</v>
      </c>
      <c r="D18" s="8" t="s">
        <v>226</v>
      </c>
      <c r="E18" s="8" t="s">
        <v>241</v>
      </c>
      <c r="F18" s="8" t="s">
        <v>185</v>
      </c>
      <c r="G18" s="8" t="s">
        <v>208</v>
      </c>
    </row>
    <row r="19" spans="1:7" s="7" customFormat="1" ht="31.2">
      <c r="A19" s="8" t="s">
        <v>242</v>
      </c>
      <c r="B19" s="8" t="s">
        <v>243</v>
      </c>
      <c r="C19" s="8" t="s">
        <v>244</v>
      </c>
      <c r="D19" s="8" t="s">
        <v>245</v>
      </c>
      <c r="E19" s="8" t="s">
        <v>246</v>
      </c>
      <c r="F19" s="8" t="s">
        <v>185</v>
      </c>
      <c r="G19" s="8" t="s">
        <v>247</v>
      </c>
    </row>
    <row r="20" spans="1:7" s="7" customFormat="1" ht="31.2">
      <c r="A20" s="8" t="s">
        <v>248</v>
      </c>
      <c r="B20" s="8" t="s">
        <v>243</v>
      </c>
      <c r="C20" s="8" t="s">
        <v>249</v>
      </c>
      <c r="D20" s="8" t="s">
        <v>250</v>
      </c>
      <c r="E20" s="8" t="s">
        <v>251</v>
      </c>
      <c r="F20" s="8" t="s">
        <v>185</v>
      </c>
      <c r="G20" s="8" t="s">
        <v>247</v>
      </c>
    </row>
    <row r="21" spans="1:7" s="7" customFormat="1" ht="31.2">
      <c r="A21" s="8" t="s">
        <v>252</v>
      </c>
      <c r="B21" s="8" t="s">
        <v>243</v>
      </c>
      <c r="C21" s="8" t="s">
        <v>253</v>
      </c>
      <c r="D21" s="8" t="s">
        <v>254</v>
      </c>
      <c r="E21" s="8" t="s">
        <v>255</v>
      </c>
      <c r="F21" s="8" t="s">
        <v>185</v>
      </c>
      <c r="G21" s="8" t="s">
        <v>247</v>
      </c>
    </row>
    <row r="22" spans="1:7" s="7" customFormat="1" ht="31.2">
      <c r="A22" s="8" t="s">
        <v>256</v>
      </c>
      <c r="B22" s="8" t="s">
        <v>243</v>
      </c>
      <c r="C22" s="8" t="s">
        <v>257</v>
      </c>
      <c r="D22" s="8" t="s">
        <v>254</v>
      </c>
      <c r="E22" s="8" t="s">
        <v>258</v>
      </c>
      <c r="F22" s="8" t="s">
        <v>185</v>
      </c>
      <c r="G22" s="8" t="s">
        <v>247</v>
      </c>
    </row>
    <row r="23" spans="1:7" s="7" customFormat="1" ht="27.6" customHeight="1">
      <c r="A23" s="8" t="s">
        <v>259</v>
      </c>
      <c r="B23" s="8" t="s">
        <v>243</v>
      </c>
      <c r="C23" s="8" t="s">
        <v>260</v>
      </c>
      <c r="D23" s="8" t="s">
        <v>261</v>
      </c>
      <c r="E23" s="8" t="s">
        <v>262</v>
      </c>
      <c r="F23" s="8" t="s">
        <v>185</v>
      </c>
      <c r="G23" s="8" t="s">
        <v>247</v>
      </c>
    </row>
    <row r="24" spans="1:7" s="7" customFormat="1" ht="25.2" customHeight="1">
      <c r="A24" s="8" t="s">
        <v>263</v>
      </c>
      <c r="B24" s="8" t="s">
        <v>243</v>
      </c>
      <c r="C24" s="8" t="s">
        <v>264</v>
      </c>
      <c r="D24" s="8" t="s">
        <v>265</v>
      </c>
      <c r="E24" s="8" t="s">
        <v>266</v>
      </c>
      <c r="F24" s="8" t="s">
        <v>185</v>
      </c>
      <c r="G24" s="8" t="s">
        <v>247</v>
      </c>
    </row>
    <row r="25" spans="1:7" s="7" customFormat="1" ht="31.2">
      <c r="A25" s="8" t="s">
        <v>267</v>
      </c>
      <c r="B25" s="8" t="s">
        <v>243</v>
      </c>
      <c r="C25" s="8" t="s">
        <v>268</v>
      </c>
      <c r="D25" s="8" t="s">
        <v>269</v>
      </c>
      <c r="E25" s="8" t="s">
        <v>270</v>
      </c>
      <c r="F25" s="8" t="s">
        <v>185</v>
      </c>
      <c r="G25" s="8" t="s">
        <v>247</v>
      </c>
    </row>
    <row r="26" spans="1:7" s="7" customFormat="1" ht="31.2">
      <c r="A26" s="8" t="s">
        <v>271</v>
      </c>
      <c r="B26" s="8" t="s">
        <v>243</v>
      </c>
      <c r="C26" s="8" t="s">
        <v>272</v>
      </c>
      <c r="D26" s="8" t="s">
        <v>273</v>
      </c>
      <c r="E26" s="8" t="s">
        <v>274</v>
      </c>
      <c r="F26" s="8" t="s">
        <v>185</v>
      </c>
      <c r="G26" s="8" t="s">
        <v>247</v>
      </c>
    </row>
    <row r="27" spans="1:7" s="7" customFormat="1" ht="31.2">
      <c r="A27" s="8" t="s">
        <v>275</v>
      </c>
      <c r="B27" s="8" t="s">
        <v>243</v>
      </c>
      <c r="C27" s="8" t="s">
        <v>276</v>
      </c>
      <c r="D27" s="8" t="s">
        <v>277</v>
      </c>
      <c r="E27" s="8" t="s">
        <v>278</v>
      </c>
      <c r="F27" s="8" t="s">
        <v>185</v>
      </c>
      <c r="G27" s="8" t="s">
        <v>247</v>
      </c>
    </row>
    <row r="28" spans="1:7" s="7" customFormat="1" ht="25.2" customHeight="1">
      <c r="A28" s="8" t="s">
        <v>279</v>
      </c>
      <c r="B28" s="8" t="s">
        <v>280</v>
      </c>
      <c r="C28" s="8" t="s">
        <v>281</v>
      </c>
      <c r="D28" s="8" t="s">
        <v>282</v>
      </c>
      <c r="E28" s="8" t="s">
        <v>283</v>
      </c>
      <c r="F28" s="8" t="s">
        <v>185</v>
      </c>
      <c r="G28" s="8" t="s">
        <v>284</v>
      </c>
    </row>
    <row r="29" spans="1:7" s="7" customFormat="1" ht="31.2">
      <c r="A29" s="8" t="s">
        <v>285</v>
      </c>
      <c r="B29" s="8" t="s">
        <v>280</v>
      </c>
      <c r="C29" s="8" t="s">
        <v>286</v>
      </c>
      <c r="D29" s="8" t="s">
        <v>287</v>
      </c>
      <c r="E29" s="8" t="s">
        <v>288</v>
      </c>
      <c r="F29" s="8" t="s">
        <v>185</v>
      </c>
      <c r="G29" s="8" t="s">
        <v>284</v>
      </c>
    </row>
    <row r="30" spans="1:7" s="7" customFormat="1" ht="31.2">
      <c r="A30" s="8" t="s">
        <v>289</v>
      </c>
      <c r="B30" s="8" t="s">
        <v>280</v>
      </c>
      <c r="C30" s="8" t="s">
        <v>290</v>
      </c>
      <c r="D30" s="8" t="s">
        <v>291</v>
      </c>
      <c r="E30" s="8" t="s">
        <v>292</v>
      </c>
      <c r="F30" s="8" t="s">
        <v>185</v>
      </c>
      <c r="G30" s="8" t="s">
        <v>284</v>
      </c>
    </row>
    <row r="31" spans="1:7" s="7" customFormat="1" ht="31.2">
      <c r="A31" s="8" t="s">
        <v>293</v>
      </c>
      <c r="B31" s="8" t="s">
        <v>280</v>
      </c>
      <c r="C31" s="8" t="s">
        <v>294</v>
      </c>
      <c r="D31" s="8" t="s">
        <v>295</v>
      </c>
      <c r="E31" s="8" t="s">
        <v>296</v>
      </c>
      <c r="F31" s="8" t="s">
        <v>185</v>
      </c>
      <c r="G31" s="8" t="s">
        <v>284</v>
      </c>
    </row>
    <row r="32" spans="1:7" s="7" customFormat="1" ht="31.2">
      <c r="A32" s="8" t="s">
        <v>297</v>
      </c>
      <c r="B32" s="8" t="s">
        <v>280</v>
      </c>
      <c r="C32" s="8" t="s">
        <v>298</v>
      </c>
      <c r="D32" s="8" t="s">
        <v>299</v>
      </c>
      <c r="E32" s="8" t="s">
        <v>300</v>
      </c>
      <c r="F32" s="8" t="s">
        <v>185</v>
      </c>
      <c r="G32" s="8" t="s">
        <v>284</v>
      </c>
    </row>
    <row r="33" spans="1:7" s="7" customFormat="1" ht="31.2">
      <c r="A33" s="8" t="s">
        <v>301</v>
      </c>
      <c r="B33" s="8" t="s">
        <v>280</v>
      </c>
      <c r="C33" s="8" t="s">
        <v>302</v>
      </c>
      <c r="D33" s="8" t="s">
        <v>303</v>
      </c>
      <c r="E33" s="8" t="s">
        <v>304</v>
      </c>
      <c r="F33" s="8" t="s">
        <v>185</v>
      </c>
      <c r="G33" s="8" t="s">
        <v>284</v>
      </c>
    </row>
    <row r="34" spans="1:7" s="7" customFormat="1" ht="31.2">
      <c r="A34" s="8" t="s">
        <v>305</v>
      </c>
      <c r="B34" s="8" t="s">
        <v>280</v>
      </c>
      <c r="C34" s="8" t="s">
        <v>306</v>
      </c>
      <c r="D34" s="8" t="s">
        <v>307</v>
      </c>
      <c r="E34" s="8" t="s">
        <v>308</v>
      </c>
      <c r="F34" s="8" t="s">
        <v>185</v>
      </c>
      <c r="G34" s="8" t="s">
        <v>284</v>
      </c>
    </row>
    <row r="35" spans="1:7" s="7" customFormat="1" ht="31.2">
      <c r="A35" s="8" t="s">
        <v>309</v>
      </c>
      <c r="B35" s="8" t="s">
        <v>280</v>
      </c>
      <c r="C35" s="8" t="s">
        <v>310</v>
      </c>
      <c r="D35" s="8" t="s">
        <v>311</v>
      </c>
      <c r="E35" s="8" t="s">
        <v>312</v>
      </c>
      <c r="F35" s="8" t="s">
        <v>185</v>
      </c>
      <c r="G35" s="8" t="s">
        <v>284</v>
      </c>
    </row>
    <row r="36" spans="1:7" s="7" customFormat="1" ht="31.2">
      <c r="A36" s="8" t="s">
        <v>313</v>
      </c>
      <c r="B36" s="8" t="s">
        <v>280</v>
      </c>
      <c r="C36" s="8" t="s">
        <v>314</v>
      </c>
      <c r="D36" s="8" t="s">
        <v>315</v>
      </c>
      <c r="E36" s="8" t="s">
        <v>316</v>
      </c>
      <c r="F36" s="8" t="s">
        <v>185</v>
      </c>
      <c r="G36" s="8" t="s">
        <v>284</v>
      </c>
    </row>
    <row r="37" spans="1:7" s="7" customFormat="1" ht="31.2">
      <c r="A37" s="8" t="s">
        <v>317</v>
      </c>
      <c r="B37" s="8" t="s">
        <v>318</v>
      </c>
      <c r="C37" s="8" t="s">
        <v>319</v>
      </c>
      <c r="D37" s="8" t="s">
        <v>320</v>
      </c>
      <c r="E37" s="8" t="s">
        <v>321</v>
      </c>
      <c r="F37" s="8" t="s">
        <v>185</v>
      </c>
      <c r="G37" s="8" t="s">
        <v>322</v>
      </c>
    </row>
    <row r="38" spans="1:7" s="7" customFormat="1" ht="31.2">
      <c r="A38" s="8" t="s">
        <v>323</v>
      </c>
      <c r="B38" s="8" t="s">
        <v>318</v>
      </c>
      <c r="C38" s="8" t="s">
        <v>324</v>
      </c>
      <c r="D38" s="8" t="s">
        <v>325</v>
      </c>
      <c r="E38" s="8" t="s">
        <v>326</v>
      </c>
      <c r="F38" s="8" t="s">
        <v>185</v>
      </c>
      <c r="G38" s="8" t="s">
        <v>322</v>
      </c>
    </row>
    <row r="39" spans="1:7" s="7" customFormat="1" ht="31.2">
      <c r="A39" s="8" t="s">
        <v>327</v>
      </c>
      <c r="B39" s="8" t="s">
        <v>318</v>
      </c>
      <c r="C39" s="8" t="s">
        <v>328</v>
      </c>
      <c r="D39" s="8" t="s">
        <v>329</v>
      </c>
      <c r="E39" s="8" t="s">
        <v>330</v>
      </c>
      <c r="F39" s="8" t="s">
        <v>185</v>
      </c>
      <c r="G39" s="8" t="s">
        <v>322</v>
      </c>
    </row>
    <row r="40" spans="1:7" s="7" customFormat="1" ht="31.2">
      <c r="A40" s="8" t="s">
        <v>331</v>
      </c>
      <c r="B40" s="8" t="s">
        <v>318</v>
      </c>
      <c r="C40" s="8" t="s">
        <v>332</v>
      </c>
      <c r="D40" s="8" t="s">
        <v>329</v>
      </c>
      <c r="E40" s="8" t="s">
        <v>333</v>
      </c>
      <c r="F40" s="8" t="s">
        <v>185</v>
      </c>
      <c r="G40" s="8" t="s">
        <v>322</v>
      </c>
    </row>
    <row r="41" spans="1:7" s="7" customFormat="1" ht="31.2">
      <c r="A41" s="8" t="s">
        <v>334</v>
      </c>
      <c r="B41" s="8" t="s">
        <v>318</v>
      </c>
      <c r="C41" s="8" t="s">
        <v>335</v>
      </c>
      <c r="D41" s="8" t="s">
        <v>336</v>
      </c>
      <c r="E41" s="8" t="s">
        <v>337</v>
      </c>
      <c r="F41" s="8" t="s">
        <v>185</v>
      </c>
      <c r="G41" s="8" t="s">
        <v>322</v>
      </c>
    </row>
    <row r="42" spans="1:7" s="7" customFormat="1" ht="31.2">
      <c r="A42" s="8" t="s">
        <v>52</v>
      </c>
      <c r="B42" s="8" t="s">
        <v>318</v>
      </c>
      <c r="C42" s="8" t="s">
        <v>338</v>
      </c>
      <c r="D42" s="8" t="s">
        <v>339</v>
      </c>
      <c r="E42" s="8" t="s">
        <v>340</v>
      </c>
      <c r="F42" s="8" t="s">
        <v>185</v>
      </c>
      <c r="G42" s="8" t="s">
        <v>322</v>
      </c>
    </row>
    <row r="43" spans="1:7" s="7" customFormat="1" ht="31.2">
      <c r="A43" s="8" t="s">
        <v>341</v>
      </c>
      <c r="B43" s="8" t="s">
        <v>318</v>
      </c>
      <c r="C43" s="8" t="s">
        <v>342</v>
      </c>
      <c r="D43" s="8" t="s">
        <v>343</v>
      </c>
      <c r="E43" s="8" t="s">
        <v>344</v>
      </c>
      <c r="F43" s="8" t="s">
        <v>185</v>
      </c>
      <c r="G43" s="8" t="s">
        <v>322</v>
      </c>
    </row>
  </sheetData>
  <mergeCells count="1">
    <mergeCell ref="A1:G1"/>
  </mergeCells>
  <conditionalFormatting sqref="F4:F43">
    <cfRule type="expression" dxfId="2" priority="1">
      <formula>F4="PASS"</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2"/>
  <sheetViews>
    <sheetView workbookViewId="0">
      <selection activeCell="C11" sqref="C11"/>
    </sheetView>
  </sheetViews>
  <sheetFormatPr defaultRowHeight="15.6"/>
  <cols>
    <col min="1" max="1" width="10" style="1" customWidth="1"/>
    <col min="2" max="2" width="18" style="1" customWidth="1"/>
    <col min="3" max="3" width="36" style="1" customWidth="1"/>
    <col min="4" max="4" width="18" style="1" customWidth="1"/>
    <col min="5" max="5" width="42" style="1" customWidth="1"/>
    <col min="6" max="7" width="48" style="1" customWidth="1"/>
    <col min="8" max="8" width="18" style="1" customWidth="1"/>
    <col min="9" max="16384" width="8.796875" style="1"/>
  </cols>
  <sheetData>
    <row r="1" spans="1:7" ht="27.15" customHeight="1">
      <c r="A1" s="11" t="s">
        <v>345</v>
      </c>
      <c r="B1" s="11"/>
      <c r="C1" s="11"/>
      <c r="D1" s="11"/>
      <c r="E1" s="11"/>
      <c r="F1" s="11"/>
      <c r="G1" s="11"/>
    </row>
    <row r="3" spans="1:7" ht="23.4" customHeight="1">
      <c r="A3" s="2" t="s">
        <v>346</v>
      </c>
      <c r="B3" s="2" t="s">
        <v>174</v>
      </c>
      <c r="C3" s="2" t="s">
        <v>347</v>
      </c>
      <c r="D3" s="2" t="s">
        <v>348</v>
      </c>
      <c r="E3" s="2" t="s">
        <v>349</v>
      </c>
      <c r="F3" s="2" t="s">
        <v>350</v>
      </c>
      <c r="G3" s="2" t="s">
        <v>351</v>
      </c>
    </row>
    <row r="4" spans="1:7" s="7" customFormat="1" ht="31.2">
      <c r="A4" s="8" t="s">
        <v>352</v>
      </c>
      <c r="B4" s="8" t="s">
        <v>204</v>
      </c>
      <c r="C4" s="8" t="s">
        <v>353</v>
      </c>
      <c r="D4" s="8" t="s">
        <v>209</v>
      </c>
      <c r="E4" s="8" t="s">
        <v>354</v>
      </c>
      <c r="F4" s="8" t="s">
        <v>355</v>
      </c>
      <c r="G4" s="8" t="s">
        <v>356</v>
      </c>
    </row>
    <row r="5" spans="1:7" s="7" customFormat="1" ht="46.8">
      <c r="A5" s="8" t="s">
        <v>357</v>
      </c>
      <c r="B5" s="8" t="s">
        <v>204</v>
      </c>
      <c r="C5" s="8" t="s">
        <v>358</v>
      </c>
      <c r="D5" s="8" t="s">
        <v>359</v>
      </c>
      <c r="E5" s="8" t="s">
        <v>360</v>
      </c>
      <c r="F5" s="8" t="s">
        <v>361</v>
      </c>
      <c r="G5" s="8" t="s">
        <v>362</v>
      </c>
    </row>
    <row r="6" spans="1:7" s="7" customFormat="1" ht="31.2">
      <c r="A6" s="8" t="s">
        <v>363</v>
      </c>
      <c r="B6" s="8" t="s">
        <v>204</v>
      </c>
      <c r="C6" s="8" t="s">
        <v>364</v>
      </c>
      <c r="D6" s="8" t="s">
        <v>232</v>
      </c>
      <c r="E6" s="8" t="s">
        <v>365</v>
      </c>
      <c r="F6" s="8" t="s">
        <v>366</v>
      </c>
      <c r="G6" s="8" t="s">
        <v>367</v>
      </c>
    </row>
    <row r="7" spans="1:7" s="7" customFormat="1" ht="31.2">
      <c r="A7" s="8" t="s">
        <v>368</v>
      </c>
      <c r="B7" s="8" t="s">
        <v>369</v>
      </c>
      <c r="C7" s="8" t="s">
        <v>370</v>
      </c>
      <c r="D7" s="8" t="s">
        <v>239</v>
      </c>
      <c r="E7" s="8" t="s">
        <v>371</v>
      </c>
      <c r="F7" s="8" t="s">
        <v>372</v>
      </c>
      <c r="G7" s="8" t="s">
        <v>373</v>
      </c>
    </row>
    <row r="8" spans="1:7" s="7" customFormat="1" ht="31.2">
      <c r="A8" s="8" t="s">
        <v>374</v>
      </c>
      <c r="B8" s="8" t="s">
        <v>243</v>
      </c>
      <c r="C8" s="8" t="s">
        <v>375</v>
      </c>
      <c r="D8" s="8" t="s">
        <v>248</v>
      </c>
      <c r="E8" s="8" t="s">
        <v>376</v>
      </c>
      <c r="F8" s="8" t="s">
        <v>377</v>
      </c>
      <c r="G8" s="8" t="s">
        <v>378</v>
      </c>
    </row>
    <row r="9" spans="1:7" s="7" customFormat="1" ht="31.2">
      <c r="A9" s="8" t="s">
        <v>379</v>
      </c>
      <c r="B9" s="8" t="s">
        <v>243</v>
      </c>
      <c r="C9" s="8" t="s">
        <v>380</v>
      </c>
      <c r="D9" s="8" t="s">
        <v>381</v>
      </c>
      <c r="E9" s="8" t="s">
        <v>382</v>
      </c>
      <c r="F9" s="8" t="s">
        <v>383</v>
      </c>
      <c r="G9" s="8" t="s">
        <v>384</v>
      </c>
    </row>
    <row r="10" spans="1:7" s="7" customFormat="1" ht="31.2">
      <c r="A10" s="8" t="s">
        <v>385</v>
      </c>
      <c r="B10" s="8" t="s">
        <v>280</v>
      </c>
      <c r="C10" s="8" t="s">
        <v>386</v>
      </c>
      <c r="D10" s="8" t="s">
        <v>279</v>
      </c>
      <c r="E10" s="8" t="s">
        <v>387</v>
      </c>
      <c r="F10" s="8" t="s">
        <v>388</v>
      </c>
      <c r="G10" s="8" t="s">
        <v>389</v>
      </c>
    </row>
    <row r="11" spans="1:7" s="7" customFormat="1" ht="31.2">
      <c r="A11" s="8" t="s">
        <v>390</v>
      </c>
      <c r="B11" s="8" t="s">
        <v>280</v>
      </c>
      <c r="C11" s="8" t="s">
        <v>391</v>
      </c>
      <c r="D11" s="8" t="s">
        <v>289</v>
      </c>
      <c r="E11" s="8" t="s">
        <v>392</v>
      </c>
      <c r="F11" s="8" t="s">
        <v>393</v>
      </c>
      <c r="G11" s="8" t="s">
        <v>394</v>
      </c>
    </row>
    <row r="12" spans="1:7" s="7" customFormat="1" ht="31.2">
      <c r="A12" s="8" t="s">
        <v>395</v>
      </c>
      <c r="B12" s="8" t="s">
        <v>280</v>
      </c>
      <c r="C12" s="8" t="s">
        <v>396</v>
      </c>
      <c r="D12" s="8" t="s">
        <v>305</v>
      </c>
      <c r="E12" s="8" t="s">
        <v>397</v>
      </c>
      <c r="F12" s="8" t="s">
        <v>398</v>
      </c>
      <c r="G12" s="8" t="s">
        <v>399</v>
      </c>
    </row>
    <row r="13" spans="1:7" s="7" customFormat="1" ht="31.2">
      <c r="A13" s="8" t="s">
        <v>400</v>
      </c>
      <c r="B13" s="8" t="s">
        <v>401</v>
      </c>
      <c r="C13" s="8" t="s">
        <v>402</v>
      </c>
      <c r="D13" s="8" t="s">
        <v>313</v>
      </c>
      <c r="E13" s="8" t="s">
        <v>403</v>
      </c>
      <c r="F13" s="8" t="s">
        <v>404</v>
      </c>
      <c r="G13" s="8" t="s">
        <v>405</v>
      </c>
    </row>
    <row r="14" spans="1:7" s="7" customFormat="1" ht="31.2">
      <c r="A14" s="8" t="s">
        <v>406</v>
      </c>
      <c r="B14" s="8" t="s">
        <v>407</v>
      </c>
      <c r="C14" s="8" t="s">
        <v>408</v>
      </c>
      <c r="D14" s="8" t="s">
        <v>317</v>
      </c>
      <c r="E14" s="8" t="s">
        <v>409</v>
      </c>
      <c r="F14" s="8" t="s">
        <v>410</v>
      </c>
      <c r="G14" s="8" t="s">
        <v>411</v>
      </c>
    </row>
    <row r="15" spans="1:7" s="7" customFormat="1" ht="31.2">
      <c r="A15" s="8" t="s">
        <v>412</v>
      </c>
      <c r="B15" s="8" t="s">
        <v>413</v>
      </c>
      <c r="C15" s="8" t="s">
        <v>414</v>
      </c>
      <c r="D15" s="8" t="s">
        <v>323</v>
      </c>
      <c r="E15" s="8" t="s">
        <v>415</v>
      </c>
      <c r="F15" s="8" t="s">
        <v>416</v>
      </c>
      <c r="G15" s="8" t="s">
        <v>417</v>
      </c>
    </row>
    <row r="16" spans="1:7" s="7" customFormat="1" ht="46.8">
      <c r="A16" s="8" t="s">
        <v>418</v>
      </c>
      <c r="B16" s="8" t="s">
        <v>318</v>
      </c>
      <c r="C16" s="8" t="s">
        <v>419</v>
      </c>
      <c r="D16" s="8" t="s">
        <v>420</v>
      </c>
      <c r="E16" s="8" t="s">
        <v>421</v>
      </c>
      <c r="F16" s="8" t="s">
        <v>422</v>
      </c>
      <c r="G16" s="8" t="s">
        <v>423</v>
      </c>
    </row>
    <row r="40" spans="1:7">
      <c r="A40" s="7"/>
      <c r="B40" s="7"/>
      <c r="C40" s="7"/>
      <c r="D40" s="7"/>
      <c r="E40" s="7"/>
      <c r="F40" s="7"/>
      <c r="G40" s="7"/>
    </row>
    <row r="41" spans="1:7">
      <c r="A41" s="7"/>
      <c r="B41" s="7"/>
      <c r="C41" s="7"/>
      <c r="D41" s="7"/>
      <c r="E41" s="7"/>
      <c r="F41" s="7"/>
      <c r="G41" s="7"/>
    </row>
    <row r="42" spans="1:7">
      <c r="A42" s="7"/>
      <c r="B42" s="7"/>
      <c r="C42" s="7"/>
      <c r="D42" s="7"/>
      <c r="E42" s="7"/>
      <c r="F42" s="7"/>
      <c r="G42" s="7"/>
    </row>
  </sheetData>
  <mergeCells count="1">
    <mergeCell ref="A1:G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2"/>
  <sheetViews>
    <sheetView workbookViewId="0">
      <selection activeCell="D9" sqref="D9"/>
    </sheetView>
  </sheetViews>
  <sheetFormatPr defaultRowHeight="15.6"/>
  <cols>
    <col min="1" max="1" width="10" style="1" customWidth="1"/>
    <col min="2" max="2" width="12" style="1" customWidth="1"/>
    <col min="3" max="3" width="40" style="1" customWidth="1"/>
    <col min="4" max="4" width="46" style="1" customWidth="1"/>
    <col min="5" max="5" width="28" style="1" customWidth="1"/>
    <col min="6" max="6" width="45" style="1" customWidth="1"/>
    <col min="7" max="8" width="18" style="1" customWidth="1"/>
    <col min="9" max="16384" width="8.796875" style="1"/>
  </cols>
  <sheetData>
    <row r="1" spans="1:8" ht="27.15" customHeight="1">
      <c r="A1" s="11" t="s">
        <v>424</v>
      </c>
      <c r="B1" s="11"/>
      <c r="C1" s="11"/>
      <c r="D1" s="11"/>
      <c r="E1" s="11"/>
      <c r="F1" s="11"/>
      <c r="G1" s="11"/>
      <c r="H1" s="11"/>
    </row>
    <row r="3" spans="1:8" ht="23.4" customHeight="1">
      <c r="A3" s="2" t="s">
        <v>425</v>
      </c>
      <c r="B3" s="2" t="s">
        <v>426</v>
      </c>
      <c r="C3" s="2" t="s">
        <v>427</v>
      </c>
      <c r="D3" s="2" t="s">
        <v>61</v>
      </c>
      <c r="E3" s="2" t="s">
        <v>428</v>
      </c>
      <c r="F3" s="2" t="s">
        <v>429</v>
      </c>
      <c r="G3" s="2" t="s">
        <v>430</v>
      </c>
      <c r="H3" s="2" t="s">
        <v>431</v>
      </c>
    </row>
    <row r="4" spans="1:8" s="7" customFormat="1" ht="46.8">
      <c r="A4" s="8" t="s">
        <v>432</v>
      </c>
      <c r="B4" s="8" t="s">
        <v>433</v>
      </c>
      <c r="C4" s="8" t="s">
        <v>434</v>
      </c>
      <c r="D4" s="8" t="s">
        <v>435</v>
      </c>
      <c r="E4" s="8" t="s">
        <v>436</v>
      </c>
      <c r="F4" s="8" t="s">
        <v>437</v>
      </c>
      <c r="G4" s="8" t="s">
        <v>438</v>
      </c>
      <c r="H4" s="8" t="s">
        <v>439</v>
      </c>
    </row>
    <row r="5" spans="1:8" s="7" customFormat="1" ht="46.8">
      <c r="A5" s="8" t="s">
        <v>440</v>
      </c>
      <c r="B5" s="8" t="s">
        <v>433</v>
      </c>
      <c r="C5" s="8" t="s">
        <v>441</v>
      </c>
      <c r="D5" s="8" t="s">
        <v>442</v>
      </c>
      <c r="E5" s="8" t="s">
        <v>443</v>
      </c>
      <c r="F5" s="8" t="s">
        <v>444</v>
      </c>
      <c r="G5" s="8" t="s">
        <v>438</v>
      </c>
      <c r="H5" s="8" t="s">
        <v>445</v>
      </c>
    </row>
    <row r="6" spans="1:8" s="7" customFormat="1" ht="31.2">
      <c r="A6" s="8" t="s">
        <v>446</v>
      </c>
      <c r="B6" s="8" t="s">
        <v>447</v>
      </c>
      <c r="C6" s="8" t="s">
        <v>448</v>
      </c>
      <c r="D6" s="8" t="s">
        <v>449</v>
      </c>
      <c r="E6" s="8" t="s">
        <v>243</v>
      </c>
      <c r="F6" s="8" t="s">
        <v>450</v>
      </c>
      <c r="G6" s="8" t="s">
        <v>451</v>
      </c>
      <c r="H6" s="8" t="s">
        <v>452</v>
      </c>
    </row>
    <row r="7" spans="1:8" s="7" customFormat="1" ht="46.8">
      <c r="A7" s="8" t="s">
        <v>453</v>
      </c>
      <c r="B7" s="8" t="s">
        <v>447</v>
      </c>
      <c r="C7" s="8" t="s">
        <v>454</v>
      </c>
      <c r="D7" s="8" t="s">
        <v>455</v>
      </c>
      <c r="E7" s="8" t="s">
        <v>456</v>
      </c>
      <c r="F7" s="8" t="s">
        <v>457</v>
      </c>
      <c r="G7" s="8" t="s">
        <v>451</v>
      </c>
      <c r="H7" s="8" t="s">
        <v>458</v>
      </c>
    </row>
    <row r="8" spans="1:8" s="7" customFormat="1" ht="31.2">
      <c r="A8" s="8" t="s">
        <v>459</v>
      </c>
      <c r="B8" s="8" t="s">
        <v>447</v>
      </c>
      <c r="C8" s="8" t="s">
        <v>460</v>
      </c>
      <c r="D8" s="8" t="s">
        <v>461</v>
      </c>
      <c r="E8" s="8" t="s">
        <v>462</v>
      </c>
      <c r="F8" s="8" t="s">
        <v>463</v>
      </c>
      <c r="G8" s="8" t="s">
        <v>464</v>
      </c>
      <c r="H8" s="8" t="s">
        <v>465</v>
      </c>
    </row>
    <row r="9" spans="1:8" s="7" customFormat="1" ht="31.2">
      <c r="A9" s="8" t="s">
        <v>466</v>
      </c>
      <c r="B9" s="8" t="s">
        <v>447</v>
      </c>
      <c r="C9" s="8" t="s">
        <v>467</v>
      </c>
      <c r="D9" s="8" t="s">
        <v>468</v>
      </c>
      <c r="E9" s="8" t="s">
        <v>469</v>
      </c>
      <c r="F9" s="8" t="s">
        <v>470</v>
      </c>
      <c r="G9" s="8" t="s">
        <v>451</v>
      </c>
      <c r="H9" s="8" t="s">
        <v>471</v>
      </c>
    </row>
    <row r="40" spans="1:7">
      <c r="A40" s="7"/>
      <c r="B40" s="7"/>
      <c r="C40" s="7"/>
      <c r="D40" s="7"/>
      <c r="E40" s="7"/>
      <c r="F40" s="7"/>
      <c r="G40" s="7"/>
    </row>
    <row r="41" spans="1:7">
      <c r="A41" s="7"/>
      <c r="B41" s="7"/>
      <c r="C41" s="7"/>
      <c r="D41" s="7"/>
      <c r="E41" s="7"/>
      <c r="F41" s="7"/>
      <c r="G41" s="7"/>
    </row>
    <row r="42" spans="1:7">
      <c r="A42" s="7"/>
      <c r="B42" s="7"/>
      <c r="C42" s="7"/>
      <c r="D42" s="7"/>
      <c r="E42" s="7"/>
      <c r="F42" s="7"/>
      <c r="G42" s="7"/>
    </row>
  </sheetData>
  <mergeCells count="1">
    <mergeCell ref="A1:H1"/>
  </mergeCells>
  <conditionalFormatting sqref="B4:B9">
    <cfRule type="expression" dxfId="1" priority="1">
      <formula>B4="Critical"</formula>
    </cfRule>
    <cfRule type="expression" dxfId="0" priority="2">
      <formula>B4="High"</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42"/>
  <sheetViews>
    <sheetView workbookViewId="0">
      <selection activeCell="B16" sqref="B16"/>
    </sheetView>
  </sheetViews>
  <sheetFormatPr defaultRowHeight="15.6"/>
  <cols>
    <col min="1" max="1" width="24" style="1" customWidth="1"/>
    <col min="2" max="2" width="60.3984375" style="1" customWidth="1"/>
    <col min="3" max="3" width="58" style="1" customWidth="1"/>
    <col min="4" max="7" width="8.796875" style="1"/>
    <col min="8" max="8" width="18" style="1" customWidth="1"/>
    <col min="9" max="16384" width="8.796875" style="1"/>
  </cols>
  <sheetData>
    <row r="1" spans="1:3" ht="27.15" customHeight="1">
      <c r="A1" s="11" t="s">
        <v>472</v>
      </c>
      <c r="B1" s="11"/>
      <c r="C1" s="11"/>
    </row>
    <row r="3" spans="1:3" ht="23.4" customHeight="1">
      <c r="A3" s="2" t="s">
        <v>473</v>
      </c>
      <c r="B3" s="2" t="s">
        <v>474</v>
      </c>
      <c r="C3" s="2" t="s">
        <v>475</v>
      </c>
    </row>
    <row r="4" spans="1:3" ht="15.6" customHeight="1">
      <c r="A4" s="5" t="s">
        <v>476</v>
      </c>
      <c r="B4" s="5" t="s">
        <v>477</v>
      </c>
      <c r="C4" s="5" t="s">
        <v>478</v>
      </c>
    </row>
    <row r="5" spans="1:3" ht="15.6" customHeight="1">
      <c r="A5" s="5" t="s">
        <v>479</v>
      </c>
      <c r="B5" s="5" t="s">
        <v>480</v>
      </c>
      <c r="C5" s="5" t="s">
        <v>481</v>
      </c>
    </row>
    <row r="6" spans="1:3" ht="15.6" customHeight="1">
      <c r="A6" s="5" t="s">
        <v>482</v>
      </c>
      <c r="B6" s="5" t="s">
        <v>483</v>
      </c>
      <c r="C6" s="5" t="s">
        <v>484</v>
      </c>
    </row>
    <row r="7" spans="1:3" ht="15.6" customHeight="1">
      <c r="A7" s="5" t="s">
        <v>485</v>
      </c>
      <c r="B7" s="5" t="s">
        <v>486</v>
      </c>
      <c r="C7" s="5" t="s">
        <v>487</v>
      </c>
    </row>
    <row r="8" spans="1:3" ht="15.6" customHeight="1">
      <c r="A8" s="5" t="s">
        <v>488</v>
      </c>
      <c r="B8" s="5" t="s">
        <v>489</v>
      </c>
      <c r="C8" s="5" t="s">
        <v>490</v>
      </c>
    </row>
    <row r="9" spans="1:3" ht="15.6" customHeight="1">
      <c r="A9" s="5" t="s">
        <v>491</v>
      </c>
      <c r="B9" s="5" t="s">
        <v>492</v>
      </c>
      <c r="C9" s="5" t="s">
        <v>493</v>
      </c>
    </row>
    <row r="10" spans="1:3" ht="15.6" customHeight="1">
      <c r="A10" s="5" t="s">
        <v>494</v>
      </c>
      <c r="B10" s="5" t="s">
        <v>495</v>
      </c>
      <c r="C10" s="5" t="s">
        <v>496</v>
      </c>
    </row>
    <row r="11" spans="1:3" ht="15.6" customHeight="1">
      <c r="A11" s="5" t="s">
        <v>497</v>
      </c>
      <c r="B11" s="5" t="s">
        <v>498</v>
      </c>
      <c r="C11" s="5" t="s">
        <v>499</v>
      </c>
    </row>
    <row r="12" spans="1:3" ht="15.6" customHeight="1">
      <c r="A12" s="5" t="s">
        <v>500</v>
      </c>
      <c r="B12" s="5" t="s">
        <v>501</v>
      </c>
      <c r="C12" s="5" t="s">
        <v>502</v>
      </c>
    </row>
    <row r="13" spans="1:3" ht="15.6" customHeight="1">
      <c r="A13" s="5" t="s">
        <v>503</v>
      </c>
      <c r="B13" s="5" t="s">
        <v>504</v>
      </c>
      <c r="C13" s="5" t="s">
        <v>505</v>
      </c>
    </row>
    <row r="40" spans="1:7">
      <c r="A40" s="7"/>
      <c r="B40" s="7"/>
      <c r="C40" s="7"/>
      <c r="D40" s="7"/>
      <c r="E40" s="7"/>
      <c r="F40" s="7"/>
      <c r="G40" s="7"/>
    </row>
    <row r="41" spans="1:7">
      <c r="A41" s="7"/>
      <c r="B41" s="7"/>
      <c r="C41" s="7"/>
      <c r="D41" s="7"/>
      <c r="E41" s="7"/>
      <c r="F41" s="7"/>
      <c r="G41" s="7"/>
    </row>
    <row r="42" spans="1:7">
      <c r="A42" s="7"/>
      <c r="B42" s="7"/>
      <c r="C42" s="7"/>
      <c r="D42" s="7"/>
      <c r="E42" s="7"/>
      <c r="F42" s="7"/>
      <c r="G42" s="7"/>
    </row>
  </sheetData>
  <mergeCells count="1">
    <mergeCell ref="A1:C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SQL_Data_Model</vt:lpstr>
      <vt:lpstr>Query_Library</vt:lpstr>
      <vt:lpstr>Business_Insights</vt:lpstr>
      <vt:lpstr>Executive_Recommendations</vt:lpstr>
      <vt:lpstr>Lessons_Learned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Dinesh Welikala</cp:lastModifiedBy>
  <dcterms:modified xsi:type="dcterms:W3CDTF">2026-08-07T17:27:35Z</dcterms:modified>
</cp:coreProperties>
</file>