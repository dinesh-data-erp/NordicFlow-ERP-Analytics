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weli2\Downloads\NordicFlow_Project3_GitHub_Portfolio\NordicFlow_Project3_GitHub_Portfolio\workbooks\"/>
    </mc:Choice>
  </mc:AlternateContent>
  <xr:revisionPtr revIDLastSave="0" documentId="13_ncr:1_{3D1B66D6-72D6-4364-A1DF-9A9FC9ADE667}" xr6:coauthVersionLast="47" xr6:coauthVersionMax="47" xr10:uidLastSave="{00000000-0000-0000-0000-000000000000}"/>
  <bookViews>
    <workbookView xWindow="-108" yWindow="-108" windowWidth="23256" windowHeight="12456" firstSheet="7" activeTab="10" xr2:uid="{00000000-000D-0000-FFFF-FFFF00000000}"/>
  </bookViews>
  <sheets>
    <sheet name="README" sheetId="1" r:id="rId1"/>
    <sheet name="Material_Master_Clean" sheetId="2" r:id="rId2"/>
    <sheet name="Supplier_Master_Clean" sheetId="3" r:id="rId3"/>
    <sheet name="Plant_Master_Clean" sheetId="4" r:id="rId4"/>
    <sheet name="BOM_Clean" sheetId="5" r:id="rId5"/>
    <sheet name="Inventory_Snapshot_Clean" sheetId="6" r:id="rId6"/>
    <sheet name="Purchase_Order_Lines_Clean" sheetId="7" r:id="rId7"/>
    <sheet name="Production_Orders_Clean" sheetId="8" r:id="rId8"/>
    <sheet name="Cleaning_Log" sheetId="9" r:id="rId9"/>
    <sheet name="Change_Summary" sheetId="10" r:id="rId10"/>
    <sheet name="DQ_Summary_After" sheetId="11" r:id="rId11"/>
    <sheet name="Consultant_Findings" sheetId="12" r:id="rId12"/>
    <sheet name="Release_Readiness"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11" l="1"/>
  <c r="I9" i="11"/>
  <c r="I8" i="11"/>
  <c r="I7" i="11"/>
  <c r="I6" i="11"/>
  <c r="I5" i="11"/>
  <c r="Q18" i="8"/>
  <c r="P18" i="8"/>
  <c r="O18" i="8"/>
  <c r="Q17" i="8"/>
  <c r="P17" i="8"/>
  <c r="O17" i="8"/>
  <c r="Q16" i="8"/>
  <c r="P16" i="8"/>
  <c r="O16" i="8"/>
  <c r="Q15" i="8"/>
  <c r="P15" i="8"/>
  <c r="O15" i="8"/>
  <c r="Q14" i="8"/>
  <c r="P14" i="8"/>
  <c r="O14" i="8"/>
  <c r="Q13" i="8"/>
  <c r="P13" i="8"/>
  <c r="O13" i="8"/>
  <c r="Q12" i="8"/>
  <c r="P12" i="8"/>
  <c r="O12" i="8"/>
  <c r="Q11" i="8"/>
  <c r="P11" i="8"/>
  <c r="O11" i="8"/>
  <c r="Q10" i="8"/>
  <c r="P10" i="8"/>
  <c r="O10" i="8"/>
  <c r="Q9" i="8"/>
  <c r="P9" i="8"/>
  <c r="O9" i="8"/>
  <c r="Q8" i="8"/>
  <c r="P8" i="8"/>
  <c r="O8" i="8"/>
  <c r="Q7" i="8"/>
  <c r="P7" i="8"/>
  <c r="O7" i="8"/>
  <c r="Q6" i="8"/>
  <c r="P6" i="8"/>
  <c r="O6" i="8"/>
  <c r="Q5" i="8"/>
  <c r="P5" i="8"/>
  <c r="O5" i="8"/>
  <c r="Q4" i="8"/>
  <c r="P4" i="8"/>
  <c r="O4" i="8"/>
  <c r="T27" i="7"/>
  <c r="S27" i="7"/>
  <c r="R27" i="7"/>
  <c r="Q27" i="7"/>
  <c r="P27" i="7"/>
  <c r="T26" i="7"/>
  <c r="S26" i="7"/>
  <c r="R26" i="7"/>
  <c r="Q26" i="7"/>
  <c r="P26" i="7"/>
  <c r="T25" i="7"/>
  <c r="S25" i="7"/>
  <c r="R25" i="7"/>
  <c r="Q25" i="7"/>
  <c r="P25" i="7"/>
  <c r="T24" i="7"/>
  <c r="S24" i="7"/>
  <c r="R24" i="7"/>
  <c r="Q24" i="7"/>
  <c r="P24" i="7"/>
  <c r="T23" i="7"/>
  <c r="S23" i="7"/>
  <c r="R23" i="7"/>
  <c r="Q23" i="7"/>
  <c r="P23" i="7"/>
  <c r="T22" i="7"/>
  <c r="S22" i="7"/>
  <c r="R22" i="7"/>
  <c r="Q22" i="7"/>
  <c r="P22" i="7"/>
  <c r="T21" i="7"/>
  <c r="S21" i="7"/>
  <c r="R21" i="7"/>
  <c r="Q21" i="7"/>
  <c r="P21" i="7"/>
  <c r="T20" i="7"/>
  <c r="S20" i="7"/>
  <c r="R20" i="7"/>
  <c r="Q20" i="7"/>
  <c r="P20" i="7"/>
  <c r="T19" i="7"/>
  <c r="S19" i="7"/>
  <c r="R19" i="7"/>
  <c r="Q19" i="7"/>
  <c r="P19" i="7"/>
  <c r="T18" i="7"/>
  <c r="S18" i="7"/>
  <c r="R18" i="7"/>
  <c r="Q18" i="7"/>
  <c r="P18" i="7"/>
  <c r="T17" i="7"/>
  <c r="S17" i="7"/>
  <c r="R17" i="7"/>
  <c r="Q17" i="7"/>
  <c r="P17" i="7"/>
  <c r="T16" i="7"/>
  <c r="S16" i="7"/>
  <c r="R16" i="7"/>
  <c r="Q16" i="7"/>
  <c r="P16" i="7"/>
  <c r="T15" i="7"/>
  <c r="S15" i="7"/>
  <c r="R15" i="7"/>
  <c r="Q15" i="7"/>
  <c r="P15" i="7"/>
  <c r="T14" i="7"/>
  <c r="S14" i="7"/>
  <c r="R14" i="7"/>
  <c r="Q14" i="7"/>
  <c r="P14" i="7"/>
  <c r="T13" i="7"/>
  <c r="S13" i="7"/>
  <c r="R13" i="7"/>
  <c r="Q13" i="7"/>
  <c r="P13" i="7"/>
  <c r="T12" i="7"/>
  <c r="S12" i="7"/>
  <c r="R12" i="7"/>
  <c r="Q12" i="7"/>
  <c r="P12" i="7"/>
  <c r="T11" i="7"/>
  <c r="S11" i="7"/>
  <c r="R11" i="7"/>
  <c r="Q11" i="7"/>
  <c r="P11" i="7"/>
  <c r="T10" i="7"/>
  <c r="S10" i="7"/>
  <c r="R10" i="7"/>
  <c r="Q10" i="7"/>
  <c r="P10" i="7"/>
  <c r="T9" i="7"/>
  <c r="S9" i="7"/>
  <c r="R9" i="7"/>
  <c r="Q9" i="7"/>
  <c r="P9" i="7"/>
  <c r="T8" i="7"/>
  <c r="S8" i="7"/>
  <c r="R8" i="7"/>
  <c r="Q8" i="7"/>
  <c r="P8" i="7"/>
  <c r="T7" i="7"/>
  <c r="S7" i="7"/>
  <c r="R7" i="7"/>
  <c r="Q7" i="7"/>
  <c r="P7" i="7"/>
  <c r="T6" i="7"/>
  <c r="S6" i="7"/>
  <c r="R6" i="7"/>
  <c r="Q6" i="7"/>
  <c r="P6" i="7"/>
  <c r="T5" i="7"/>
  <c r="S5" i="7"/>
  <c r="R5" i="7"/>
  <c r="Q5" i="7"/>
  <c r="P5" i="7"/>
  <c r="T4" i="7"/>
  <c r="S4" i="7"/>
  <c r="R4" i="7"/>
  <c r="Q4" i="7"/>
  <c r="P4" i="7"/>
  <c r="G274" i="6"/>
  <c r="G273" i="6"/>
  <c r="G272" i="6"/>
  <c r="G271" i="6"/>
  <c r="G270" i="6"/>
  <c r="G269" i="6"/>
  <c r="G268" i="6"/>
  <c r="G267" i="6"/>
  <c r="G266" i="6"/>
  <c r="G265" i="6"/>
  <c r="G264" i="6"/>
  <c r="G263" i="6"/>
  <c r="G262" i="6"/>
  <c r="G261" i="6"/>
  <c r="G260" i="6"/>
  <c r="G259" i="6"/>
  <c r="G258" i="6"/>
  <c r="G257" i="6"/>
  <c r="G256" i="6"/>
  <c r="G255" i="6"/>
  <c r="G254" i="6"/>
  <c r="G253" i="6"/>
  <c r="G252" i="6"/>
  <c r="G251" i="6"/>
  <c r="G250" i="6"/>
  <c r="G249" i="6"/>
  <c r="G248" i="6"/>
  <c r="G247" i="6"/>
  <c r="G246" i="6"/>
  <c r="G245" i="6"/>
  <c r="G244" i="6"/>
  <c r="G243" i="6"/>
  <c r="G242" i="6"/>
  <c r="G241" i="6"/>
  <c r="G240" i="6"/>
  <c r="G239" i="6"/>
  <c r="G238" i="6"/>
  <c r="G237" i="6"/>
  <c r="G236" i="6"/>
  <c r="G235" i="6"/>
  <c r="G234" i="6"/>
  <c r="G233" i="6"/>
  <c r="G232" i="6"/>
  <c r="G231" i="6"/>
  <c r="G230" i="6"/>
  <c r="G229" i="6"/>
  <c r="G228" i="6"/>
  <c r="G227" i="6"/>
  <c r="G226" i="6"/>
  <c r="G225" i="6"/>
  <c r="G224" i="6"/>
  <c r="G223" i="6"/>
  <c r="G222" i="6"/>
  <c r="G221" i="6"/>
  <c r="G220" i="6"/>
  <c r="G219" i="6"/>
  <c r="G218" i="6"/>
  <c r="G217" i="6"/>
  <c r="G216" i="6"/>
  <c r="G215" i="6"/>
  <c r="G214" i="6"/>
  <c r="G213" i="6"/>
  <c r="G212" i="6"/>
  <c r="G211" i="6"/>
  <c r="G210" i="6"/>
  <c r="G209" i="6"/>
  <c r="G208" i="6"/>
  <c r="G207" i="6"/>
  <c r="G206" i="6"/>
  <c r="G205" i="6"/>
  <c r="G204" i="6"/>
  <c r="G203" i="6"/>
  <c r="G202" i="6"/>
  <c r="G201" i="6"/>
  <c r="G200" i="6"/>
  <c r="G199" i="6"/>
  <c r="G198" i="6"/>
  <c r="G197" i="6"/>
  <c r="G196" i="6"/>
  <c r="G195" i="6"/>
  <c r="G194" i="6"/>
  <c r="G193" i="6"/>
  <c r="G192" i="6"/>
  <c r="G191" i="6"/>
  <c r="G190" i="6"/>
  <c r="G189" i="6"/>
  <c r="G188" i="6"/>
  <c r="G187" i="6"/>
  <c r="G186" i="6"/>
  <c r="G185" i="6"/>
  <c r="G184" i="6"/>
  <c r="G183" i="6"/>
  <c r="G182" i="6"/>
  <c r="G181" i="6"/>
  <c r="G180" i="6"/>
  <c r="G179" i="6"/>
  <c r="G178" i="6"/>
  <c r="G177" i="6"/>
  <c r="G176" i="6"/>
  <c r="G175" i="6"/>
  <c r="G174" i="6"/>
  <c r="G173" i="6"/>
  <c r="G172" i="6"/>
  <c r="G171" i="6"/>
  <c r="G170" i="6"/>
  <c r="G169" i="6"/>
  <c r="G168" i="6"/>
  <c r="G167" i="6"/>
  <c r="G166" i="6"/>
  <c r="G165" i="6"/>
  <c r="G164" i="6"/>
  <c r="G163" i="6"/>
  <c r="G162" i="6"/>
  <c r="G161" i="6"/>
  <c r="G160" i="6"/>
  <c r="G159" i="6"/>
  <c r="G158" i="6"/>
  <c r="G157" i="6"/>
  <c r="G156" i="6"/>
  <c r="G155" i="6"/>
  <c r="G154" i="6"/>
  <c r="G153" i="6"/>
  <c r="G152" i="6"/>
  <c r="G151" i="6"/>
  <c r="G150" i="6"/>
  <c r="G149" i="6"/>
  <c r="G148" i="6"/>
  <c r="G147" i="6"/>
  <c r="G146" i="6"/>
  <c r="G145" i="6"/>
  <c r="G144" i="6"/>
  <c r="G143" i="6"/>
  <c r="G142" i="6"/>
  <c r="G141" i="6"/>
  <c r="G140" i="6"/>
  <c r="G139" i="6"/>
  <c r="G138" i="6"/>
  <c r="G137" i="6"/>
  <c r="G136" i="6"/>
  <c r="G135" i="6"/>
  <c r="G134" i="6"/>
  <c r="G133" i="6"/>
  <c r="G132" i="6"/>
  <c r="G131" i="6"/>
  <c r="G130" i="6"/>
  <c r="G129" i="6"/>
  <c r="G128" i="6"/>
  <c r="G127" i="6"/>
  <c r="G126" i="6"/>
  <c r="G125" i="6"/>
  <c r="G124" i="6"/>
  <c r="G123" i="6"/>
  <c r="G122" i="6"/>
  <c r="G121" i="6"/>
  <c r="G120" i="6"/>
  <c r="G119" i="6"/>
  <c r="G118" i="6"/>
  <c r="G117" i="6"/>
  <c r="G116" i="6"/>
  <c r="G115" i="6"/>
  <c r="G114" i="6"/>
  <c r="G113" i="6"/>
  <c r="G112" i="6"/>
  <c r="G111" i="6"/>
  <c r="G110" i="6"/>
  <c r="G109" i="6"/>
  <c r="G108" i="6"/>
  <c r="G107" i="6"/>
  <c r="G106" i="6"/>
  <c r="G105" i="6"/>
  <c r="G104" i="6"/>
  <c r="G103" i="6"/>
  <c r="G102" i="6"/>
  <c r="G101" i="6"/>
  <c r="G100" i="6"/>
  <c r="G99" i="6"/>
  <c r="G98" i="6"/>
  <c r="G97" i="6"/>
  <c r="G96" i="6"/>
  <c r="G95" i="6"/>
  <c r="G94" i="6"/>
  <c r="G93" i="6"/>
  <c r="G92" i="6"/>
  <c r="G91" i="6"/>
  <c r="G90" i="6"/>
  <c r="G89" i="6"/>
  <c r="G88" i="6"/>
  <c r="G87" i="6"/>
  <c r="G86" i="6"/>
  <c r="G85" i="6"/>
  <c r="G84" i="6"/>
  <c r="G83" i="6"/>
  <c r="G82" i="6"/>
  <c r="G81" i="6"/>
  <c r="G80" i="6"/>
  <c r="G79" i="6"/>
  <c r="G78" i="6"/>
  <c r="G77" i="6"/>
  <c r="G76" i="6"/>
  <c r="G75" i="6"/>
  <c r="G74" i="6"/>
  <c r="G73" i="6"/>
  <c r="G72" i="6"/>
  <c r="G71" i="6"/>
  <c r="G70" i="6"/>
  <c r="G69" i="6"/>
  <c r="G68" i="6"/>
  <c r="G67" i="6"/>
  <c r="G66" i="6"/>
  <c r="G65" i="6"/>
  <c r="G64" i="6"/>
  <c r="G63" i="6"/>
  <c r="G62" i="6"/>
  <c r="G61" i="6"/>
  <c r="G60" i="6"/>
  <c r="G59" i="6"/>
  <c r="G58" i="6"/>
  <c r="G57" i="6"/>
  <c r="G56" i="6"/>
  <c r="G55" i="6"/>
  <c r="G54" i="6"/>
  <c r="G53" i="6"/>
  <c r="G52" i="6"/>
  <c r="G51" i="6"/>
  <c r="G50" i="6"/>
  <c r="G49" i="6"/>
  <c r="G48" i="6"/>
  <c r="G47" i="6"/>
  <c r="G46" i="6"/>
  <c r="G45" i="6"/>
  <c r="G44" i="6"/>
  <c r="G43" i="6"/>
  <c r="G42" i="6"/>
  <c r="G41" i="6"/>
  <c r="G40" i="6"/>
  <c r="G39" i="6"/>
  <c r="G38" i="6"/>
  <c r="G37" i="6"/>
  <c r="G36" i="6"/>
  <c r="G35" i="6"/>
  <c r="G34" i="6"/>
  <c r="G33" i="6"/>
  <c r="G32" i="6"/>
  <c r="G31" i="6"/>
  <c r="G30" i="6"/>
  <c r="G29" i="6"/>
  <c r="G28" i="6"/>
  <c r="G27" i="6"/>
  <c r="G26" i="6"/>
  <c r="G25" i="6"/>
  <c r="G24" i="6"/>
  <c r="G23" i="6"/>
  <c r="G22" i="6"/>
  <c r="G21" i="6"/>
  <c r="G20" i="6"/>
  <c r="G19" i="6"/>
  <c r="G18" i="6"/>
  <c r="G17" i="6"/>
  <c r="G16" i="6"/>
  <c r="G15" i="6"/>
  <c r="G14" i="6"/>
  <c r="G13" i="6"/>
  <c r="G12" i="6"/>
  <c r="G11" i="6"/>
  <c r="G10" i="6"/>
  <c r="G9" i="6"/>
  <c r="G8" i="6"/>
  <c r="G7" i="6"/>
  <c r="G6" i="6"/>
  <c r="G5" i="6"/>
  <c r="G4" i="6"/>
</calcChain>
</file>

<file path=xl/sharedStrings.xml><?xml version="1.0" encoding="utf-8"?>
<sst xmlns="http://schemas.openxmlformats.org/spreadsheetml/2006/main" count="2493" uniqueCount="919">
  <si>
    <t>Material Master — Test Dataset</t>
  </si>
  <si>
    <t>Material_ID</t>
  </si>
  <si>
    <t>Material_Name</t>
  </si>
  <si>
    <t>Material_Type</t>
  </si>
  <si>
    <t>Material_Group</t>
  </si>
  <si>
    <t>Base_Unit</t>
  </si>
  <si>
    <t>Standard_Cost_EUR</t>
  </si>
  <si>
    <t>Planned_Lead_Time_Days</t>
  </si>
  <si>
    <t>Safety_Stock_Qty</t>
  </si>
  <si>
    <t>Reorder_Point_Qty</t>
  </si>
  <si>
    <t>ABC_Class</t>
  </si>
  <si>
    <t>XYZ_Class</t>
  </si>
  <si>
    <t>Criticality</t>
  </si>
  <si>
    <t>Preferred_Supplier_ID</t>
  </si>
  <si>
    <t>Active_Status</t>
  </si>
  <si>
    <t>CMP-1001</t>
  </si>
  <si>
    <t>7.5 kW Electric Motor</t>
  </si>
  <si>
    <t>Component</t>
  </si>
  <si>
    <t>Motor</t>
  </si>
  <si>
    <t>PC</t>
  </si>
  <si>
    <t>A</t>
  </si>
  <si>
    <t>X</t>
  </si>
  <si>
    <t>Critical</t>
  </si>
  <si>
    <t>SUP-001</t>
  </si>
  <si>
    <t>CMP-1002</t>
  </si>
  <si>
    <t>Mechanical Seal Type A</t>
  </si>
  <si>
    <t>Seal</t>
  </si>
  <si>
    <t>Y</t>
  </si>
  <si>
    <t>SUP-002</t>
  </si>
  <si>
    <t>CMP-1003</t>
  </si>
  <si>
    <t>Standard Bearing Set</t>
  </si>
  <si>
    <t>Bearing</t>
  </si>
  <si>
    <t>SET</t>
  </si>
  <si>
    <t>B</t>
  </si>
  <si>
    <t>Important</t>
  </si>
  <si>
    <t>SUP-003</t>
  </si>
  <si>
    <t>CMP-1004</t>
  </si>
  <si>
    <t>Control Panel Basic</t>
  </si>
  <si>
    <t>Electrical</t>
  </si>
  <si>
    <t>Z</t>
  </si>
  <si>
    <t>SUP-004</t>
  </si>
  <si>
    <t>CMP-1005</t>
  </si>
  <si>
    <t>Stainless Steel Valve DN50</t>
  </si>
  <si>
    <t>Valve</t>
  </si>
  <si>
    <t>SUP-005</t>
  </si>
  <si>
    <t>CMP-1006</t>
  </si>
  <si>
    <t>Pump Casing Small</t>
  </si>
  <si>
    <t>Semi-Finished</t>
  </si>
  <si>
    <t>Machined Casing</t>
  </si>
  <si>
    <t>SUP-006</t>
  </si>
  <si>
    <t>CMP-1007</t>
  </si>
  <si>
    <t>Pump Impeller Small</t>
  </si>
  <si>
    <t>Machined Impeller</t>
  </si>
  <si>
    <t>CMP-1008</t>
  </si>
  <si>
    <t>Powder-Coated Base Frame</t>
  </si>
  <si>
    <t>Steel Frame</t>
  </si>
  <si>
    <t>CMP-1009</t>
  </si>
  <si>
    <t>Pressure Sensor 0-16 bar</t>
  </si>
  <si>
    <t>Sensor</t>
  </si>
  <si>
    <t>SUP-007</t>
  </si>
  <si>
    <t>CMP-1010</t>
  </si>
  <si>
    <t>Fastener Kit Standard</t>
  </si>
  <si>
    <t>Fastener</t>
  </si>
  <si>
    <t>KIT</t>
  </si>
  <si>
    <t>C</t>
  </si>
  <si>
    <t>Normal</t>
  </si>
  <si>
    <t>SUP-008</t>
  </si>
  <si>
    <t>CMP-1011</t>
  </si>
  <si>
    <t>Pipe Assembly DN50</t>
  </si>
  <si>
    <t>Pipe Assembly</t>
  </si>
  <si>
    <t>CMP-1012</t>
  </si>
  <si>
    <t>Filter Housing Standard</t>
  </si>
  <si>
    <t>Filter Housing</t>
  </si>
  <si>
    <t>CMP-1013</t>
  </si>
  <si>
    <t>Filter Cartridge 10 Micron</t>
  </si>
  <si>
    <t>Filter Cartridge</t>
  </si>
  <si>
    <t>CMP-1014</t>
  </si>
  <si>
    <t>Dosing Pump 2 L/h</t>
  </si>
  <si>
    <t>Dosing Pump</t>
  </si>
  <si>
    <t>CMP-1015</t>
  </si>
  <si>
    <t>PVC Hose 10 mm</t>
  </si>
  <si>
    <t>Raw Material</t>
  </si>
  <si>
    <t>Hose</t>
  </si>
  <si>
    <t>M</t>
  </si>
  <si>
    <t>FG-1001</t>
  </si>
  <si>
    <t>Compact Pump Unit</t>
  </si>
  <si>
    <t>Finished Product</t>
  </si>
  <si>
    <t>Pump System</t>
  </si>
  <si>
    <t>FG-1002</t>
  </si>
  <si>
    <t>Industrial Pump Unit</t>
  </si>
  <si>
    <t>FG-2001</t>
  </si>
  <si>
    <t>Standard Filtration Skid</t>
  </si>
  <si>
    <t>Filtration System</t>
  </si>
  <si>
    <t>FG-3001</t>
  </si>
  <si>
    <t>Chemical Dosing System</t>
  </si>
  <si>
    <t>Dosing System</t>
  </si>
  <si>
    <t>FG-4001</t>
  </si>
  <si>
    <t>Valve and Pipe Assembly</t>
  </si>
  <si>
    <t>Industrial Assembly</t>
  </si>
  <si>
    <t>Supplier Master — Test Dataset</t>
  </si>
  <si>
    <t>Supplier_ID</t>
  </si>
  <si>
    <t>Supplier_Name</t>
  </si>
  <si>
    <t>Supplier_Country</t>
  </si>
  <si>
    <t>Supplier_Category</t>
  </si>
  <si>
    <t>Payment_Terms_Days</t>
  </si>
  <si>
    <t>Risk_Level</t>
  </si>
  <si>
    <t>Preferred_Status</t>
  </si>
  <si>
    <t>Target_Lead_Time_Days</t>
  </si>
  <si>
    <t>Target_On_Time_Rate</t>
  </si>
  <si>
    <t>Nordic Motors AB</t>
  </si>
  <si>
    <t>Sweden</t>
  </si>
  <si>
    <t>Motors</t>
  </si>
  <si>
    <t>Medium</t>
  </si>
  <si>
    <t>SealTech Oy</t>
  </si>
  <si>
    <t>Finland</t>
  </si>
  <si>
    <t>Seals</t>
  </si>
  <si>
    <t>BearingWorks GmbH</t>
  </si>
  <si>
    <t>Germany</t>
  </si>
  <si>
    <t>Bearings</t>
  </si>
  <si>
    <t>Low</t>
  </si>
  <si>
    <t>ControlPro Sp. z o.o.</t>
  </si>
  <si>
    <t>Poland</t>
  </si>
  <si>
    <t>High</t>
  </si>
  <si>
    <t>Baltic Valve AS</t>
  </si>
  <si>
    <t>Estonia</t>
  </si>
  <si>
    <t>Valves and Filters</t>
  </si>
  <si>
    <t>FinnSteel Components Oy</t>
  </si>
  <si>
    <t>Fabricated Components</t>
  </si>
  <si>
    <t>FlowSensor BV</t>
  </si>
  <si>
    <t>Netherlands</t>
  </si>
  <si>
    <t>Sensors</t>
  </si>
  <si>
    <t>FastenNordic Oy</t>
  </si>
  <si>
    <t>Fasteners and Hose</t>
  </si>
  <si>
    <t>Plant Master — Test Dataset</t>
  </si>
  <si>
    <t>Plant_ID</t>
  </si>
  <si>
    <t>Plant_Name</t>
  </si>
  <si>
    <t>City</t>
  </si>
  <si>
    <t>Plant_Type</t>
  </si>
  <si>
    <t>Country</t>
  </si>
  <si>
    <t>PLT-1000</t>
  </si>
  <si>
    <t>Tampere Manufacturing Plant</t>
  </si>
  <si>
    <t>Tampere</t>
  </si>
  <si>
    <t>Manufacturing</t>
  </si>
  <si>
    <t>PLT-2000</t>
  </si>
  <si>
    <t>Vaasa Manufacturing Plant</t>
  </si>
  <si>
    <t>Vaasa</t>
  </si>
  <si>
    <t>PLT-3000</t>
  </si>
  <si>
    <t>Vantaa Distribution Centre</t>
  </si>
  <si>
    <t>Vantaa</t>
  </si>
  <si>
    <t>Distribution</t>
  </si>
  <si>
    <t>BOM — Test Dataset</t>
  </si>
  <si>
    <t>BOM_ID</t>
  </si>
  <si>
    <t>Finished_Product_ID</t>
  </si>
  <si>
    <t>BOM_Version</t>
  </si>
  <si>
    <t>Component_Line</t>
  </si>
  <si>
    <t>Component_Material_ID</t>
  </si>
  <si>
    <t>Quantity_Per_Unit</t>
  </si>
  <si>
    <t>Scrap_Factor_Percent</t>
  </si>
  <si>
    <t>Effective_From</t>
  </si>
  <si>
    <t>Effective_To</t>
  </si>
  <si>
    <t>BOM-1001</t>
  </si>
  <si>
    <t>V1</t>
  </si>
  <si>
    <t>BOM-1002</t>
  </si>
  <si>
    <t>BOM-2001</t>
  </si>
  <si>
    <t>BOM-3001</t>
  </si>
  <si>
    <t>BOM-4001</t>
  </si>
  <si>
    <t>Inventory Snapshot — Test Dataset</t>
  </si>
  <si>
    <t>Snapshot_Date</t>
  </si>
  <si>
    <t>Stock_Status</t>
  </si>
  <si>
    <t>Quantity</t>
  </si>
  <si>
    <t>Unit_Cost_EUR</t>
  </si>
  <si>
    <t>Inventory_Value_EUR</t>
  </si>
  <si>
    <t>Unrestricted</t>
  </si>
  <si>
    <t>Quality Inspection</t>
  </si>
  <si>
    <t>Reserved</t>
  </si>
  <si>
    <t>In Transit</t>
  </si>
  <si>
    <t>Blocked</t>
  </si>
  <si>
    <t>Purchase Order Lines — Test Dataset</t>
  </si>
  <si>
    <t>PO_ID</t>
  </si>
  <si>
    <t>PO_Line</t>
  </si>
  <si>
    <t>PO_Creation_Date</t>
  </si>
  <si>
    <t>Required_Delivery_Date</t>
  </si>
  <si>
    <t>Confirmed_Delivery_Date</t>
  </si>
  <si>
    <t>Actual_Receipt_Date</t>
  </si>
  <si>
    <t>Ordered_Qty</t>
  </si>
  <si>
    <t>Received_Qty</t>
  </si>
  <si>
    <t>Unit_Price_EUR</t>
  </si>
  <si>
    <t>PO_Status</t>
  </si>
  <si>
    <t>Quality_Accepted_Qty</t>
  </si>
  <si>
    <t>Quality_Rejected_Qty</t>
  </si>
  <si>
    <t>Actual_Lead_Time_Days</t>
  </si>
  <si>
    <t>Delivery_Delay_Days</t>
  </si>
  <si>
    <t>On_Time_Flag</t>
  </si>
  <si>
    <t>Open_Qty</t>
  </si>
  <si>
    <t>Quality_Rejection_Rate</t>
  </si>
  <si>
    <t>PO-5001</t>
  </si>
  <si>
    <t>Received</t>
  </si>
  <si>
    <t>PO-5002</t>
  </si>
  <si>
    <t>PO-5003</t>
  </si>
  <si>
    <t>PO-5004</t>
  </si>
  <si>
    <t>PO-5005</t>
  </si>
  <si>
    <t>PO-5006</t>
  </si>
  <si>
    <t>PO-5007</t>
  </si>
  <si>
    <t>PO-5008</t>
  </si>
  <si>
    <t>PO-5009</t>
  </si>
  <si>
    <t>PO-5010</t>
  </si>
  <si>
    <t>Partially Received</t>
  </si>
  <si>
    <t>PO-5011</t>
  </si>
  <si>
    <t>PO-5012</t>
  </si>
  <si>
    <t>PO-5013</t>
  </si>
  <si>
    <t>PO-5014</t>
  </si>
  <si>
    <t>PO-5015</t>
  </si>
  <si>
    <t>PO-5016</t>
  </si>
  <si>
    <t>PO-5017</t>
  </si>
  <si>
    <t>PO-5018</t>
  </si>
  <si>
    <t>PO-5019</t>
  </si>
  <si>
    <t>PO-5020</t>
  </si>
  <si>
    <t>PO-5021</t>
  </si>
  <si>
    <t>PO-5022</t>
  </si>
  <si>
    <t>PO-5023</t>
  </si>
  <si>
    <t>PO-5024</t>
  </si>
  <si>
    <t>Production Orders — Test Dataset</t>
  </si>
  <si>
    <t>Production_Order_ID</t>
  </si>
  <si>
    <t>Order_Creation_Date</t>
  </si>
  <si>
    <t>Planned_Start_Date</t>
  </si>
  <si>
    <t>Actual_Start_Date</t>
  </si>
  <si>
    <t>Planned_End_Date</t>
  </si>
  <si>
    <t>Actual_End_Date</t>
  </si>
  <si>
    <t>Planned_Qty</t>
  </si>
  <si>
    <t>Actual_Qty</t>
  </si>
  <si>
    <t>Order_Status</t>
  </si>
  <si>
    <t>Delay_Reason</t>
  </si>
  <si>
    <t>Material_Shortage_Flag</t>
  </si>
  <si>
    <t>Production_Priority</t>
  </si>
  <si>
    <t>Planned_Duration_Days</t>
  </si>
  <si>
    <t>Actual_Duration_Days</t>
  </si>
  <si>
    <t>Completion_Delay_Days</t>
  </si>
  <si>
    <t>PRD-7001</t>
  </si>
  <si>
    <t>Completed</t>
  </si>
  <si>
    <t>Material Shortage</t>
  </si>
  <si>
    <t>PRD-7002</t>
  </si>
  <si>
    <t>PRD-7003</t>
  </si>
  <si>
    <t>No Delay</t>
  </si>
  <si>
    <t>PRD-7004</t>
  </si>
  <si>
    <t>Supplier Delay</t>
  </si>
  <si>
    <t>Urgent</t>
  </si>
  <si>
    <t>PRD-7005</t>
  </si>
  <si>
    <t>Capacity Constraint</t>
  </si>
  <si>
    <t>PRD-7006</t>
  </si>
  <si>
    <t>Quality Hold</t>
  </si>
  <si>
    <t>PRD-7007</t>
  </si>
  <si>
    <t>PRD-7008</t>
  </si>
  <si>
    <t>PRD-7009</t>
  </si>
  <si>
    <t>PRD-7010</t>
  </si>
  <si>
    <t>PRD-7011</t>
  </si>
  <si>
    <t>PRD-7012</t>
  </si>
  <si>
    <t>PRD-7013</t>
  </si>
  <si>
    <t>PRD-7014</t>
  </si>
  <si>
    <t>PRD-7015</t>
  </si>
  <si>
    <t>Cleaning Log - 1st Review</t>
  </si>
  <si>
    <t>Cleaning_ID</t>
  </si>
  <si>
    <t>Decision_ID</t>
  </si>
  <si>
    <t>Issue_ID</t>
  </si>
  <si>
    <t>Rule_ID</t>
  </si>
  <si>
    <t>Table_Name</t>
  </si>
  <si>
    <t>Record_Key</t>
  </si>
  <si>
    <t>Field_Name</t>
  </si>
  <si>
    <t>Original_Value</t>
  </si>
  <si>
    <t>Cleaned_Value</t>
  </si>
  <si>
    <t>Cleaning_Method</t>
  </si>
  <si>
    <t>Evidence_Source</t>
  </si>
  <si>
    <t>Performed_By</t>
  </si>
  <si>
    <t>Validation_Result</t>
  </si>
  <si>
    <t>Cleaning_Date</t>
  </si>
  <si>
    <t>Automation_Potential</t>
  </si>
  <si>
    <t>Remarks</t>
  </si>
  <si>
    <t>CL-001</t>
  </si>
  <si>
    <t>CL-002</t>
  </si>
  <si>
    <t>CL-003</t>
  </si>
  <si>
    <t>CL-004</t>
  </si>
  <si>
    <t>CL-005</t>
  </si>
  <si>
    <t>CL-006</t>
  </si>
  <si>
    <t>CL-007</t>
  </si>
  <si>
    <t>CL-008</t>
  </si>
  <si>
    <t>CL-009</t>
  </si>
  <si>
    <t>CL-010</t>
  </si>
  <si>
    <t>CL-011</t>
  </si>
  <si>
    <t>CL-012</t>
  </si>
  <si>
    <t>CL-013</t>
  </si>
  <si>
    <t>CL-014</t>
  </si>
  <si>
    <t>CL-015</t>
  </si>
  <si>
    <t>CL-016</t>
  </si>
  <si>
    <t>CL-017</t>
  </si>
  <si>
    <t>CL-018</t>
  </si>
  <si>
    <t>CL-019</t>
  </si>
  <si>
    <t>CL-020</t>
  </si>
  <si>
    <t>CL-021</t>
  </si>
  <si>
    <t>CL-022</t>
  </si>
  <si>
    <t>CL-023</t>
  </si>
  <si>
    <t>CL-024</t>
  </si>
  <si>
    <t>CL-025</t>
  </si>
  <si>
    <t>CL-026</t>
  </si>
  <si>
    <t>CL-027</t>
  </si>
  <si>
    <t>CL-028</t>
  </si>
  <si>
    <t>CL-029</t>
  </si>
  <si>
    <t>CL-030</t>
  </si>
  <si>
    <t>CL-031</t>
  </si>
  <si>
    <t>CL-032</t>
  </si>
  <si>
    <t>CL-033</t>
  </si>
  <si>
    <t>CL-034</t>
  </si>
  <si>
    <t>CL-035</t>
  </si>
  <si>
    <t>CL-036</t>
  </si>
  <si>
    <t>CL-037</t>
  </si>
  <si>
    <t>CL-038</t>
  </si>
  <si>
    <t>CL-039</t>
  </si>
  <si>
    <t>CL-040</t>
  </si>
  <si>
    <t>CL-041</t>
  </si>
  <si>
    <t>CL-042</t>
  </si>
  <si>
    <t>NordicFlow ERP Consultant Portfolio — Project 3: Clean ERP Dataset</t>
  </si>
  <si>
    <t>Project</t>
  </si>
  <si>
    <t>Version</t>
  </si>
  <si>
    <t>Status</t>
  </si>
  <si>
    <t>Author</t>
  </si>
  <si>
    <t>Updated</t>
  </si>
  <si>
    <t>Workbook Role</t>
  </si>
  <si>
    <t>Source</t>
  </si>
  <si>
    <t>Data Classification</t>
  </si>
  <si>
    <t>Release State</t>
  </si>
  <si>
    <t>Next Phase</t>
  </si>
  <si>
    <t>Project 3 — ERP Data Quality Management</t>
  </si>
  <si>
    <t>1.0</t>
  </si>
  <si>
    <t>Dinesh Welikala</t>
  </si>
  <si>
    <t>August 2026</t>
  </si>
  <si>
    <t>Trusted analysis-ready output</t>
  </si>
  <si>
    <t>Project 3 Raw &amp; Governance workbook</t>
  </si>
  <si>
    <t>Fictional, simulated and portfolio-safe</t>
  </si>
  <si>
    <t>Technically validated; simulated approvals disclosed</t>
  </si>
  <si>
    <t>Project 4 — SQL Business Analysis</t>
  </si>
  <si>
    <t>1. Project overview</t>
  </si>
  <si>
    <t>This workbook is the trusted clean output of the NordicFlow ERP data-quality engagement. It contains seven corrected ERP datasets, an auditable cleaning log, before/after summaries, release-readiness controls and consultant findings. The data is prepared for SQL, Python and Power BI analysis. Raw source data and governance decisions are intentionally stored in a separate workbook.</t>
  </si>
  <si>
    <t>2. Business problem, objectives and results</t>
  </si>
  <si>
    <t>Business problem</t>
  </si>
  <si>
    <t>Project objective</t>
  </si>
  <si>
    <t>Method applied</t>
  </si>
  <si>
    <t>Clean-data outcome</t>
  </si>
  <si>
    <t>Business value</t>
  </si>
  <si>
    <t>KPI</t>
  </si>
  <si>
    <t>Result</t>
  </si>
  <si>
    <t>Interpretation</t>
  </si>
  <si>
    <t>Release implication</t>
  </si>
  <si>
    <t>Inventory shortages and production delays despite excess inventory</t>
  </si>
  <si>
    <t>Improve ERP master and transaction data reliability</t>
  </si>
  <si>
    <t>Profile → govern → cleanse → validate → release</t>
  </si>
  <si>
    <t>Seven analysis-ready ERP tables with zero technical DQ issues</t>
  </si>
  <si>
    <t>Reliable planning, procurement, production and reporting foundation</t>
  </si>
  <si>
    <t>ERP tables cleaned</t>
  </si>
  <si>
    <t>Full agreed Project 3 scope</t>
  </si>
  <si>
    <t>Ready</t>
  </si>
  <si>
    <t>Issues identified</t>
  </si>
  <si>
    <t>Controlled errors in raw workbook</t>
  </si>
  <si>
    <t>Traceable</t>
  </si>
  <si>
    <t>Changes implemented</t>
  </si>
  <si>
    <t>Expected clean-state values applied</t>
  </si>
  <si>
    <t>Complete</t>
  </si>
  <si>
    <t>Normally validated</t>
  </si>
  <si>
    <t>Evidence and validation passed</t>
  </si>
  <si>
    <t>Accepted</t>
  </si>
  <si>
    <t>Simulated approvals pending</t>
  </si>
  <si>
    <t>Business approval modelled for education</t>
  </si>
  <si>
    <t>Disclosed</t>
  </si>
  <si>
    <t>Technical issues remaining</t>
  </si>
  <si>
    <t>No failed DQ rules in clean tables</t>
  </si>
  <si>
    <t>Analysis-ready</t>
  </si>
  <si>
    <t>Clean records</t>
  </si>
  <si>
    <t>Duplicates removed and tables reconciled</t>
  </si>
  <si>
    <t>Controlled output</t>
  </si>
  <si>
    <t>3. End-to-end methodology</t>
  </si>
  <si>
    <t>1. Business context</t>
  </si>
  <si>
    <t>2. Baseline model</t>
  </si>
  <si>
    <t>3. Raw copy</t>
  </si>
  <si>
    <t>4. Profiling</t>
  </si>
  <si>
    <t>5. Issue governance</t>
  </si>
  <si>
    <t>6. Remediation</t>
  </si>
  <si>
    <t>7. Revalidation</t>
  </si>
  <si>
    <t>8. Release</t>
  </si>
  <si>
    <t>9. Findings</t>
  </si>
  <si>
    <t>10. Next analysis</t>
  </si>
  <si>
    <t>Define manufacturing problem</t>
  </si>
  <si>
    <t>Build ERP model and rules</t>
  </si>
  <si>
    <t>Inject controlled defects</t>
  </si>
  <si>
    <t>Measure six DQ dimensions</t>
  </si>
  <si>
    <t>Assign rule, severity, owner and source</t>
  </si>
  <si>
    <t>Correct / standardise / enrich / merge</t>
  </si>
  <si>
    <t>Repeat controls and reconcile</t>
  </si>
  <si>
    <t>Publish clean dataset</t>
  </si>
  <si>
    <t>Recommend preventive controls</t>
  </si>
  <si>
    <t>SQL → Python → Power BI</t>
  </si>
  <si>
    <t>4. Workbook contents</t>
  </si>
  <si>
    <t>Sheet</t>
  </si>
  <si>
    <t>Purpose</t>
  </si>
  <si>
    <t>Data state</t>
  </si>
  <si>
    <t>Recommended use</t>
  </si>
  <si>
    <t>Control status</t>
  </si>
  <si>
    <t>Notes</t>
  </si>
  <si>
    <t>Skill demonstrated</t>
  </si>
  <si>
    <t>Evidence in workbook</t>
  </si>
  <si>
    <t>Interview value</t>
  </si>
  <si>
    <t>Material_Master_Clean</t>
  </si>
  <si>
    <t>Validated material and planning master</t>
  </si>
  <si>
    <t>Clean</t>
  </si>
  <si>
    <t>SQL / Python / Power BI</t>
  </si>
  <si>
    <t>Released</t>
  </si>
  <si>
    <t>Material classifications and planning parameters</t>
  </si>
  <si>
    <t>ERP data modelling</t>
  </si>
  <si>
    <t>Seven linked clean tables</t>
  </si>
  <si>
    <t>Explains business objects and grain</t>
  </si>
  <si>
    <t>Supplier_Master_Clean</t>
  </si>
  <si>
    <t>Validated supplier master</t>
  </si>
  <si>
    <t>Procurement analysis</t>
  </si>
  <si>
    <t>Supplier identity, risk and targets</t>
  </si>
  <si>
    <t>Data quality assessment</t>
  </si>
  <si>
    <t>Before/after DQ summaries</t>
  </si>
  <si>
    <t>Shows structured diagnosis</t>
  </si>
  <si>
    <t>Plant_Master_Clean</t>
  </si>
  <si>
    <t>Validated plant reference</t>
  </si>
  <si>
    <t>Plant-level analysis</t>
  </si>
  <si>
    <t>Manufacturing and distribution sites</t>
  </si>
  <si>
    <t>Master data governance</t>
  </si>
  <si>
    <t>Rules, owners and evidence trail</t>
  </si>
  <si>
    <t>Shows controlled decision-making</t>
  </si>
  <si>
    <t>BOM_Clean</t>
  </si>
  <si>
    <t>Validated product-component structure</t>
  </si>
  <si>
    <t>MRP and component-demand analysis</t>
  </si>
  <si>
    <t>Engineering structure</t>
  </si>
  <si>
    <t>Data migration thinking</t>
  </si>
  <si>
    <t>Baseline, raw, clean and reconciliation</t>
  </si>
  <si>
    <t>Mirrors implementation lifecycle</t>
  </si>
  <si>
    <t>Inventory_Snapshot_Clean</t>
  </si>
  <si>
    <t>Validated inventory snapshots</t>
  </si>
  <si>
    <t>Availability and working-capital analysis</t>
  </si>
  <si>
    <t>Plant and stock-status grain</t>
  </si>
  <si>
    <t>Validation and UAT</t>
  </si>
  <si>
    <t>Rule re-execution and release checklist</t>
  </si>
  <si>
    <t>Shows quality assurance</t>
  </si>
  <si>
    <t>Purchase_Order_Lines_Clean</t>
  </si>
  <si>
    <t>Validated purchase transactions</t>
  </si>
  <si>
    <t>Supplier and lead-time analysis</t>
  </si>
  <si>
    <t>One material line per PO</t>
  </si>
  <si>
    <t>Root-cause analysis</t>
  </si>
  <si>
    <t>Consultant findings</t>
  </si>
  <si>
    <t>Moves beyond cell correction</t>
  </si>
  <si>
    <t>Production_Orders_Clean</t>
  </si>
  <si>
    <t>Validated production transactions</t>
  </si>
  <si>
    <t>Delay and attainment analysis</t>
  </si>
  <si>
    <t>One order per finished product</t>
  </si>
  <si>
    <t>Stakeholder management</t>
  </si>
  <si>
    <t>Data owners and pending approvals</t>
  </si>
  <si>
    <t>Shows governance awareness</t>
  </si>
  <si>
    <t>Cleaning_Log</t>
  </si>
  <si>
    <t>Audit trail of remediation actions</t>
  </si>
  <si>
    <t>Governance evidence</t>
  </si>
  <si>
    <t>Review and traceability</t>
  </si>
  <si>
    <t>Controlled</t>
  </si>
  <si>
    <t>42 issue-to-change records</t>
  </si>
  <si>
    <t>Analytics readiness</t>
  </si>
  <si>
    <t>Clean records and zero technical issues</t>
  </si>
  <si>
    <t>Ready for SQL, Python and Power BI</t>
  </si>
  <si>
    <t>Change_Summary</t>
  </si>
  <si>
    <t>Implementation and approval overview</t>
  </si>
  <si>
    <t>Management summary</t>
  </si>
  <si>
    <t>Quick review</t>
  </si>
  <si>
    <t>Separates technical completion from approvals</t>
  </si>
  <si>
    <t>Consultant communication</t>
  </si>
  <si>
    <t>README, summaries and findings</t>
  </si>
  <si>
    <t>Suitable for GitHub and interviews</t>
  </si>
  <si>
    <t>DQ_Summary_After</t>
  </si>
  <si>
    <t>After-cleaning quality results</t>
  </si>
  <si>
    <t>Validation output</t>
  </si>
  <si>
    <t>Quality assurance</t>
  </si>
  <si>
    <t>Passed</t>
  </si>
  <si>
    <t>Zero technical issues</t>
  </si>
  <si>
    <t>Release_Readiness</t>
  </si>
  <si>
    <t>Formal release checklist and sign-off status</t>
  </si>
  <si>
    <t>Control output</t>
  </si>
  <si>
    <t>Release assurance</t>
  </si>
  <si>
    <t>Passed with disclosure</t>
  </si>
  <si>
    <t>Portfolio simulation</t>
  </si>
  <si>
    <t>Consultant_Findings</t>
  </si>
  <si>
    <t>Executive findings and recommendations</t>
  </si>
  <si>
    <t>Consulting output</t>
  </si>
  <si>
    <t>Recruiter / management review</t>
  </si>
  <si>
    <t>Final</t>
  </si>
  <si>
    <t>Connects data to process improvement</t>
  </si>
  <si>
    <t>5. Governance disclosure</t>
  </si>
  <si>
    <t>Five changes would require formal approval from a business data owner in a live ERP implementation. For portfolio completeness, the clean tables show the expected final values after simulated approval. The Cleaning Log retains those five items as pending governance decisions. This distinction prevents the project from claiming real approvals while still demonstrating the complete technical target state.</t>
  </si>
  <si>
    <t>6. File relationship and next phase</t>
  </si>
  <si>
    <t>01 Project 2 Baseline (trusted control)  →  02 Project 3 Raw &amp; Governance (controlled errors and remediation decisions)  →  03 Project 3 Clean ERP Dataset (analysis-ready release)  →  Project 4 SQL Business Analysis.</t>
  </si>
  <si>
    <t>7. Tools and technologies</t>
  </si>
  <si>
    <t>Microsoft Excel</t>
  </si>
  <si>
    <t>Data validation</t>
  </si>
  <si>
    <t>XLOOKUP</t>
  </si>
  <si>
    <t>Conditional formatting</t>
  </si>
  <si>
    <t>Power Query-ready</t>
  </si>
  <si>
    <t>SQL-ready</t>
  </si>
  <si>
    <t>Python-ready</t>
  </si>
  <si>
    <t>Power BI-ready</t>
  </si>
  <si>
    <t>ERP governance</t>
  </si>
  <si>
    <t>GitHub portfolio</t>
  </si>
  <si>
    <t>CD-001</t>
  </si>
  <si>
    <t>DQ-001</t>
  </si>
  <si>
    <t>DQ-MAT-03</t>
  </si>
  <si>
    <t>Material Master</t>
  </si>
  <si>
    <t>Standard Bearing  Set</t>
  </si>
  <si>
    <t>Standardisation</t>
  </si>
  <si>
    <t>Dinesh</t>
  </si>
  <si>
    <t>Pass</t>
  </si>
  <si>
    <t>Excel Formula (TRIM)</t>
  </si>
  <si>
    <t>CD-002</t>
  </si>
  <si>
    <t>DQ-002</t>
  </si>
  <si>
    <t>DQ-MAT-02</t>
  </si>
  <si>
    <t>&lt;blank&gt;</t>
  </si>
  <si>
    <t>Data Enrichment</t>
  </si>
  <si>
    <t>Manual Review</t>
  </si>
  <si>
    <t>CD-003</t>
  </si>
  <si>
    <t>DQ-003</t>
  </si>
  <si>
    <t>DQ-MAT-08</t>
  </si>
  <si>
    <t>SUP-999</t>
  </si>
  <si>
    <t>Referential Integrity Correction</t>
  </si>
  <si>
    <t>Supplier Master</t>
  </si>
  <si>
    <t>XLOOKUP / Master Data Lookup</t>
  </si>
  <si>
    <t>CD-004</t>
  </si>
  <si>
    <t>DQ-004</t>
  </si>
  <si>
    <t>DQ-MAT-07</t>
  </si>
  <si>
    <t>Class B</t>
  </si>
  <si>
    <t>Supply Chain Manager</t>
  </si>
  <si>
    <t>Data Validation (Dropdown List)</t>
  </si>
  <si>
    <t>CD-005</t>
  </si>
  <si>
    <t>DQ-005</t>
  </si>
  <si>
    <t>DQ-MAT-05</t>
  </si>
  <si>
    <t>Business Rule Validation</t>
  </si>
  <si>
    <t>Production plan/MPS</t>
  </si>
  <si>
    <t>Production Planner</t>
  </si>
  <si>
    <t>Pending</t>
  </si>
  <si>
    <t>Business Workflow Approval</t>
  </si>
  <si>
    <t>CD-006</t>
  </si>
  <si>
    <t>DQ-006</t>
  </si>
  <si>
    <t>DQ-MAT-06</t>
  </si>
  <si>
    <t>Safety_Stock_Qty; Reorder_Point_Qty</t>
  </si>
  <si>
    <t>Safety 12; Reorder 8</t>
  </si>
  <si>
    <t>Reorder Value to 20</t>
  </si>
  <si>
    <t>CD-007</t>
  </si>
  <si>
    <t>DQ-007</t>
  </si>
  <si>
    <t>DQ-MAT-04</t>
  </si>
  <si>
    <t>Text value '28'</t>
  </si>
  <si>
    <t>Data Correction</t>
  </si>
  <si>
    <t>Finance Price List</t>
  </si>
  <si>
    <t>Finance Manager</t>
  </si>
  <si>
    <t>Data Type Conversion</t>
  </si>
  <si>
    <t>CD-008</t>
  </si>
  <si>
    <t>DQ-008</t>
  </si>
  <si>
    <t>Stable</t>
  </si>
  <si>
    <t>Master Data Validation</t>
  </si>
  <si>
    <t>Material master</t>
  </si>
  <si>
    <t>CD-009</t>
  </si>
  <si>
    <t>DQ-009</t>
  </si>
  <si>
    <t>DQ-MAT-09</t>
  </si>
  <si>
    <t>CD-010</t>
  </si>
  <si>
    <t>DQ-010</t>
  </si>
  <si>
    <t>DQ-MAT-01</t>
  </si>
  <si>
    <t>Duplicate CMP-1006</t>
  </si>
  <si>
    <t>Record removed</t>
  </si>
  <si>
    <t>Duplicate Record Removal</t>
  </si>
  <si>
    <t>Remove Duplicates (Excel/Power Query)</t>
  </si>
  <si>
    <t>CD-011</t>
  </si>
  <si>
    <t>DQ-011</t>
  </si>
  <si>
    <t>DQ-SUP-03</t>
  </si>
  <si>
    <t>Med</t>
  </si>
  <si>
    <t>CD-012</t>
  </si>
  <si>
    <t>DQ-012</t>
  </si>
  <si>
    <t>DQ-SUP-04</t>
  </si>
  <si>
    <t>FALSE while PO lines reference SUP-004</t>
  </si>
  <si>
    <t>Purchase order history</t>
  </si>
  <si>
    <t>CD-013</t>
  </si>
  <si>
    <t>DQ-013</t>
  </si>
  <si>
    <t>DQ-SUP-02</t>
  </si>
  <si>
    <t>CD-014</t>
  </si>
  <si>
    <t>DQ-014</t>
  </si>
  <si>
    <t>DQ-SUP-05</t>
  </si>
  <si>
    <t>110%</t>
  </si>
  <si>
    <t>Supplier Agreement</t>
  </si>
  <si>
    <t>Data Validation (Range Check)</t>
  </si>
  <si>
    <t>CD-015</t>
  </si>
  <si>
    <t>DQ-015</t>
  </si>
  <si>
    <t>DQ-SUP-01</t>
  </si>
  <si>
    <t>Duplicate SUP-002</t>
  </si>
  <si>
    <t>CD-016</t>
  </si>
  <si>
    <t>DQ-016</t>
  </si>
  <si>
    <t>DQ-BOM-02</t>
  </si>
  <si>
    <t>BOM</t>
  </si>
  <si>
    <t>BOM-1001 | V1 | 12</t>
  </si>
  <si>
    <t>Engineering BOM</t>
  </si>
  <si>
    <t>Engineering Manager</t>
  </si>
  <si>
    <t>CD-017</t>
  </si>
  <si>
    <t>DQ-017</t>
  </si>
  <si>
    <t>DQ-BOM-03</t>
  </si>
  <si>
    <t>BOM-1002 | V1 | 10</t>
  </si>
  <si>
    <t>CMP1001</t>
  </si>
  <si>
    <t>CD-018</t>
  </si>
  <si>
    <t>DQ-018</t>
  </si>
  <si>
    <t>DQ-BOM-04</t>
  </si>
  <si>
    <t>BOM-1002 | V1 | 14</t>
  </si>
  <si>
    <t>Data Validation (Numeric Rule)</t>
  </si>
  <si>
    <t>CD-019</t>
  </si>
  <si>
    <t>DQ-019</t>
  </si>
  <si>
    <t>DQ-BOM-05</t>
  </si>
  <si>
    <t>BOM-2001 | V1 | 13</t>
  </si>
  <si>
    <t>Engineering Change note</t>
  </si>
  <si>
    <t>CD-020</t>
  </si>
  <si>
    <t>DQ-020</t>
  </si>
  <si>
    <t>DQ-BOM-01</t>
  </si>
  <si>
    <t>BOM_ID; Version; Component_Line</t>
  </si>
  <si>
    <t>Duplicate composite key</t>
  </si>
  <si>
    <t>Remove Duplicates (Power Query)</t>
  </si>
  <si>
    <t>CD-021</t>
  </si>
  <si>
    <t>DQ-021</t>
  </si>
  <si>
    <t>DQ-BOM-06</t>
  </si>
  <si>
    <t>BOM-3001 | V1 | 14</t>
  </si>
  <si>
    <t>Default Value Rule</t>
  </si>
  <si>
    <t>CD-022</t>
  </si>
  <si>
    <t>DQ-022</t>
  </si>
  <si>
    <t>DQ-INV-02</t>
  </si>
  <si>
    <t>Inventory Snapshot</t>
  </si>
  <si>
    <t>2026-01-31 | CMP-1002 | PLT-2000 | Unrestricted</t>
  </si>
  <si>
    <t>Physical Inventory Count</t>
  </si>
  <si>
    <t>Audit Department</t>
  </si>
  <si>
    <t>Inventory Reconciliation Workflow</t>
  </si>
  <si>
    <t>CD-023</t>
  </si>
  <si>
    <t>DQ-023</t>
  </si>
  <si>
    <t>DQ-INV-03</t>
  </si>
  <si>
    <t>2026-01-31 | CMP-1003 | PLT-2000 | Available</t>
  </si>
  <si>
    <t>Available</t>
  </si>
  <si>
    <t>Warehouse Transactions</t>
  </si>
  <si>
    <t>Store Manager</t>
  </si>
  <si>
    <t>CD-024</t>
  </si>
  <si>
    <t>DQ-024</t>
  </si>
  <si>
    <t>DQ-INV-04</t>
  </si>
  <si>
    <t>2026-01-31 | CMP-1006 | PLT-1005 | Unrestricted</t>
  </si>
  <si>
    <t>PLT-1005</t>
  </si>
  <si>
    <t>Plant Master</t>
  </si>
  <si>
    <t>XLOOKUP / Plant Master Lookup</t>
  </si>
  <si>
    <t>CD-025</t>
  </si>
  <si>
    <t>DQ-025</t>
  </si>
  <si>
    <t>DQ-INV-05</t>
  </si>
  <si>
    <t>2026-01-31 | CMP-1007 | PLT-1000 | Unrestricted</t>
  </si>
  <si>
    <t>Text value '135'</t>
  </si>
  <si>
    <t>CD-026</t>
  </si>
  <si>
    <t>DQ-026</t>
  </si>
  <si>
    <t>DQ-INV-01</t>
  </si>
  <si>
    <t>2026-01-31 | CMP-1006 | PLT-2000 | In Transit</t>
  </si>
  <si>
    <t>Composite Key</t>
  </si>
  <si>
    <t>Duplicate of Row 39</t>
  </si>
  <si>
    <t>Inventory Snapshot History</t>
  </si>
  <si>
    <t>CD-027</t>
  </si>
  <si>
    <t>DQ-027</t>
  </si>
  <si>
    <t>2026-02-28 | CMP-1005 | PLT-1000 | In Transit</t>
  </si>
  <si>
    <t>Duplicate of Row 124</t>
  </si>
  <si>
    <t>CD-028</t>
  </si>
  <si>
    <t>DQ-028</t>
  </si>
  <si>
    <t>2026-01-31 | CMP-1009 | PLT-2000 | In  Transit</t>
  </si>
  <si>
    <t>In  Transit</t>
  </si>
  <si>
    <t>CD-029</t>
  </si>
  <si>
    <t>DQ-029</t>
  </si>
  <si>
    <t>DQ-PO-01</t>
  </si>
  <si>
    <t>Purchase Order Lines</t>
  </si>
  <si>
    <t>PO-5005 | 10</t>
  </si>
  <si>
    <t>CMP.10002</t>
  </si>
  <si>
    <t>XLOOKUP / Material Master Lookup</t>
  </si>
  <si>
    <t>CD-030</t>
  </si>
  <si>
    <t>DQ-030</t>
  </si>
  <si>
    <t>DQ-PO-02</t>
  </si>
  <si>
    <t>PO-5007 | 10</t>
  </si>
  <si>
    <t>Purchase Order</t>
  </si>
  <si>
    <t>CD-031</t>
  </si>
  <si>
    <t>DQ-031</t>
  </si>
  <si>
    <t>DQ-PO-03</t>
  </si>
  <si>
    <t>PO-5011 | 10</t>
  </si>
  <si>
    <t>PO_Creation_Date; Required_Delivery_Date</t>
  </si>
  <si>
    <t>Creation 2026-01-25; Required 2026-01-15</t>
  </si>
  <si>
    <t>Purchase Order History</t>
  </si>
  <si>
    <t>Date Validation Rule</t>
  </si>
  <si>
    <t>CD-032</t>
  </si>
  <si>
    <t>DQ-032</t>
  </si>
  <si>
    <t>DQ-PO-04</t>
  </si>
  <si>
    <t>PO-5013 | 10</t>
  </si>
  <si>
    <t>Quality_Accepted_Qty; Quality_Rejected_Qty; Received_Qty</t>
  </si>
  <si>
    <t>Accepted 52 + Rejected 8 &gt; Received 52</t>
  </si>
  <si>
    <t>No Rejected quantity</t>
  </si>
  <si>
    <t>Goods Receipt Document</t>
  </si>
  <si>
    <t>QA Manager</t>
  </si>
  <si>
    <t>CD-033</t>
  </si>
  <si>
    <t>DQ-033</t>
  </si>
  <si>
    <t>DQ-PO-05</t>
  </si>
  <si>
    <t>PO-5015 | 10</t>
  </si>
  <si>
    <t>Ordered_Qty; Received_Qty</t>
  </si>
  <si>
    <t>Ordered 31; Received 44</t>
  </si>
  <si>
    <t>31</t>
  </si>
  <si>
    <t>Quantity Validation Rule</t>
  </si>
  <si>
    <t>CD-034</t>
  </si>
  <si>
    <t>DQ-034</t>
  </si>
  <si>
    <t>DQ-PO-06</t>
  </si>
  <si>
    <t>PO-5018 | 10</t>
  </si>
  <si>
    <t>PO_Status; Ordered_Qty; Received_Qty</t>
  </si>
  <si>
    <t>Status Received; Ordered 26; Received 20</t>
  </si>
  <si>
    <t>26</t>
  </si>
  <si>
    <t>CD-035</t>
  </si>
  <si>
    <t>DQ-035</t>
  </si>
  <si>
    <t>DQ-PO-07</t>
  </si>
  <si>
    <t>PO-5020 | 10</t>
  </si>
  <si>
    <t>SUP 005</t>
  </si>
  <si>
    <t>XLOOKUP / Supplier Master Lookup</t>
  </si>
  <si>
    <t>CD-036</t>
  </si>
  <si>
    <t>DQ-036</t>
  </si>
  <si>
    <t>DQ-PO-08</t>
  </si>
  <si>
    <t>PO-5022 | 10</t>
  </si>
  <si>
    <t>Purchase Contract</t>
  </si>
  <si>
    <t>Numeric Validation Rule</t>
  </si>
  <si>
    <t>CD-037</t>
  </si>
  <si>
    <t>DQ-037</t>
  </si>
  <si>
    <t>DQ-PRD-01</t>
  </si>
  <si>
    <t>Production Orders</t>
  </si>
  <si>
    <t>Material_Shortage_Flag; Delay_Reason</t>
  </si>
  <si>
    <t>Flag FALSE; Delay Reason Material Shortage</t>
  </si>
  <si>
    <t>Production Order History</t>
  </si>
  <si>
    <t>Cross-Field Validation Rule</t>
  </si>
  <si>
    <t>CD-038</t>
  </si>
  <si>
    <t>DQ-038</t>
  </si>
  <si>
    <t>DQ-PRD-02</t>
  </si>
  <si>
    <t>FG/2001</t>
  </si>
  <si>
    <t>CD-039</t>
  </si>
  <si>
    <t>DQ-039</t>
  </si>
  <si>
    <t>DQ-PRD-03</t>
  </si>
  <si>
    <t>Planned_Start_Date; Planned_End_Date</t>
  </si>
  <si>
    <t>Start 2026-02-12; End 2026-02-08</t>
  </si>
  <si>
    <t>18/02/2026</t>
  </si>
  <si>
    <t>Production Plan/MPS</t>
  </si>
  <si>
    <t>CD-040</t>
  </si>
  <si>
    <t>DQ-040</t>
  </si>
  <si>
    <t>DQ-PRD-04</t>
  </si>
  <si>
    <t>Actual_Start_Date; Actual_End_Date</t>
  </si>
  <si>
    <t>Start 2026-02-23; End 2026-02-05</t>
  </si>
  <si>
    <t>05/03/2026</t>
  </si>
  <si>
    <t>CD-041</t>
  </si>
  <si>
    <t>DQ-041</t>
  </si>
  <si>
    <t>DQ-PRD-05</t>
  </si>
  <si>
    <t>Duplicate PRD-7010</t>
  </si>
  <si>
    <t>Production Order Registry</t>
  </si>
  <si>
    <t>CD-042</t>
  </si>
  <si>
    <t>DQ-042</t>
  </si>
  <si>
    <t>DQ-PRD-06</t>
  </si>
  <si>
    <t>&lt;blank&gt; while shortage flag is TRUE</t>
  </si>
  <si>
    <t>Production Supervisor Approval</t>
  </si>
  <si>
    <t>Project 3 — Remediation and Approval Summary</t>
  </si>
  <si>
    <t>Table</t>
  </si>
  <si>
    <t>Issues Identified</t>
  </si>
  <si>
    <t>Changes Implemented</t>
  </si>
  <si>
    <t>Validated / Approved</t>
  </si>
  <si>
    <t>Pending Business Approval</t>
  </si>
  <si>
    <t>Technical Issues Remaining</t>
  </si>
  <si>
    <t>Total</t>
  </si>
  <si>
    <t>All 42 expected clean-state changes are present in the clean dataset. Five require simulated business-owner approval; no technical rule violations remain.</t>
  </si>
  <si>
    <t>Data Quality Summary — After Cleaning</t>
  </si>
  <si>
    <t>Clean Records</t>
  </si>
  <si>
    <t>Completeness</t>
  </si>
  <si>
    <t>Uniqueness</t>
  </si>
  <si>
    <t>Validity</t>
  </si>
  <si>
    <t>Conformity</t>
  </si>
  <si>
    <t>Consistency</t>
  </si>
  <si>
    <t>Referential Integrity</t>
  </si>
  <si>
    <t>Technical Issues</t>
  </si>
  <si>
    <t>Governance Pending</t>
  </si>
  <si>
    <t>Technical revalidation found no remaining rule violations in the clean tables. Five items remain pending only as governance approvals in the Cleaning Log because their final values were applied using simulated business approval for educational purposes.</t>
  </si>
  <si>
    <t>Consultant Findings</t>
  </si>
  <si>
    <t>Executive summary</t>
  </si>
  <si>
    <t>NordicFlow's controlled Project 3 exercise identified 42 data-quality issues across ERP master data, BOM, inventory, purchasing and production. All expected clean-state changes were implemented in the separate clean workbook. Thirty-seven changes were validated through normal remediation, while five were completed using simulated business-owner approval to demonstrate the final analysis-ready state.</t>
  </si>
  <si>
    <t>Work performed</t>
  </si>
  <si>
    <t>Activity</t>
  </si>
  <si>
    <t>Outcome</t>
  </si>
  <si>
    <t>Evidence</t>
  </si>
  <si>
    <t>Data profiling</t>
  </si>
  <si>
    <t>Measured completeness, uniqueness, validity, conformity, consistency and referential integrity</t>
  </si>
  <si>
    <t>Raw workbook DQ_Summary</t>
  </si>
  <si>
    <t>Rule governance</t>
  </si>
  <si>
    <t>Defined 39 reusable rules and owners</t>
  </si>
  <si>
    <t>DQ_Rule_Catalogue</t>
  </si>
  <si>
    <t>Issue registration</t>
  </si>
  <si>
    <t>Logged 42 traceable exceptions</t>
  </si>
  <si>
    <t>DQ_Error_Log</t>
  </si>
  <si>
    <t>Remediation decisions</t>
  </si>
  <si>
    <t>Assigned disposition, owner and source of truth</t>
  </si>
  <si>
    <t>Cleaning_Decision_Matrix</t>
  </si>
  <si>
    <t>Cleaning execution</t>
  </si>
  <si>
    <t>Applied 42 clean-state changes</t>
  </si>
  <si>
    <t>Cleaning_Log and clean tables</t>
  </si>
  <si>
    <t>Revalidation</t>
  </si>
  <si>
    <t>Confirmed zero technical issues in clean tables</t>
  </si>
  <si>
    <t>Governance tracking</t>
  </si>
  <si>
    <t>Retained five simulated pending approvals</t>
  </si>
  <si>
    <t>Key results</t>
  </si>
  <si>
    <t>Recommendations</t>
  </si>
  <si>
    <t>Priority</t>
  </si>
  <si>
    <t>Recommendation</t>
  </si>
  <si>
    <t>Control</t>
  </si>
  <si>
    <t>1</t>
  </si>
  <si>
    <t>Prevent invalid master references</t>
  </si>
  <si>
    <t>ERP lookup and referential-integrity controls</t>
  </si>
  <si>
    <t>Raw issues identified</t>
  </si>
  <si>
    <t>2</t>
  </si>
  <si>
    <t>Enforce controlled values and mandatory fields</t>
  </si>
  <si>
    <t>Dropdowns, field validation and approval workflow</t>
  </si>
  <si>
    <t>3</t>
  </si>
  <si>
    <t>Review planning parameters regularly</t>
  </si>
  <si>
    <t>Lead-time, safety-stock and reorder-point governance</t>
  </si>
  <si>
    <t>Validated / approved</t>
  </si>
  <si>
    <t>4</t>
  </si>
  <si>
    <t>Automate duplicate and reconciliation checks</t>
  </si>
  <si>
    <t>Power Query, SQL and Python validation</t>
  </si>
  <si>
    <t>5</t>
  </si>
  <si>
    <t>Track data-quality KPIs</t>
  </si>
  <si>
    <t>Power BI dashboard and monthly stewardship review</t>
  </si>
  <si>
    <t>6</t>
  </si>
  <si>
    <t>Assign formal data owners</t>
  </si>
  <si>
    <t>Material, supplier, BOM, inventory and transaction ownership</t>
  </si>
  <si>
    <t>Consultant conclusion</t>
  </si>
  <si>
    <t>The exercise shows that inventory and production problems are not caused only by transaction volume. Weak master data, invalid relationships, inconsistent dates and poor status controls can distort MRP, supplier analysis and operational reporting. The clean datasets are now suitable for Project 4 SQL analysis, Project 5 Python automation and Project 6 Power BI reporting.</t>
  </si>
  <si>
    <t>Release status</t>
  </si>
  <si>
    <t>The Project 3 clean dataset passed the release-readiness checklist and is approved for portfolio use and Project 4 SQL analysis. See Release_Readiness for the formal control checklist and governance disclosure.</t>
  </si>
  <si>
    <t>Project 3 — Clean Dataset Release Readiness</t>
  </si>
  <si>
    <t>Check_ID</t>
  </si>
  <si>
    <t>Release criterion</t>
  </si>
  <si>
    <t>Expected result</t>
  </si>
  <si>
    <t>Actual result</t>
  </si>
  <si>
    <t>Owner</t>
  </si>
  <si>
    <t>Risk if failed</t>
  </si>
  <si>
    <t>Action / disclosure</t>
  </si>
  <si>
    <t>Portfolio decision</t>
  </si>
  <si>
    <t>RR-01</t>
  </si>
  <si>
    <t>Project 2 baseline preserved</t>
  </si>
  <si>
    <t>01_NordicFlow_Project2_Baseline.xlsx</t>
  </si>
  <si>
    <t>No source overwrite</t>
  </si>
  <si>
    <t>Baseline separate and unchanged</t>
  </si>
  <si>
    <t>PASS</t>
  </si>
  <si>
    <t>Project Manager</t>
  </si>
  <si>
    <t>No audit trail</t>
  </si>
  <si>
    <t>Retain immutable baseline</t>
  </si>
  <si>
    <t>Release</t>
  </si>
  <si>
    <t>RR-02</t>
  </si>
  <si>
    <t>Raw and clean workbooks separated</t>
  </si>
  <si>
    <t>02 and 03 workbooks</t>
  </si>
  <si>
    <t>Separate controlled files</t>
  </si>
  <si>
    <t>Separate files confirmed</t>
  </si>
  <si>
    <t>Source contamination</t>
  </si>
  <si>
    <t>Maintain file naming convention</t>
  </si>
  <si>
    <t>RR-03</t>
  </si>
  <si>
    <t>Seven clean ERP tables present</t>
  </si>
  <si>
    <t>Clean workbook sheets</t>
  </si>
  <si>
    <t>7 tables</t>
  </si>
  <si>
    <t>Data Consultant</t>
  </si>
  <si>
    <t>Incomplete analytical scope</t>
  </si>
  <si>
    <t>None</t>
  </si>
  <si>
    <t>RR-04</t>
  </si>
  <si>
    <t>Row counts reconciled</t>
  </si>
  <si>
    <t>374 clean records</t>
  </si>
  <si>
    <t>Quality Reviewer</t>
  </si>
  <si>
    <t>Lost or duplicated records</t>
  </si>
  <si>
    <t>Retain reconciliation summary</t>
  </si>
  <si>
    <t>RR-05</t>
  </si>
  <si>
    <t>Duplicate-key issues removed</t>
  </si>
  <si>
    <t>0 uniqueness issues</t>
  </si>
  <si>
    <t>0</t>
  </si>
  <si>
    <t>Data Steward</t>
  </si>
  <si>
    <t>Double-counted KPIs</t>
  </si>
  <si>
    <t>RR-06</t>
  </si>
  <si>
    <t>Referential integrity restored</t>
  </si>
  <si>
    <t>0 orphan references</t>
  </si>
  <si>
    <t>Master Data Owner</t>
  </si>
  <si>
    <t>Broken joins and failed transactions</t>
  </si>
  <si>
    <t>RR-07</t>
  </si>
  <si>
    <t>Date and quantity rules pass</t>
  </si>
  <si>
    <t>0 validity / consistency issues</t>
  </si>
  <si>
    <t>Process Owners</t>
  </si>
  <si>
    <t>Invalid lead-time and production KPIs</t>
  </si>
  <si>
    <t>RR-08</t>
  </si>
  <si>
    <t>Cleaning actions traceable</t>
  </si>
  <si>
    <t>42 linked changes</t>
  </si>
  <si>
    <t>42</t>
  </si>
  <si>
    <t>Uncontrolled changes</t>
  </si>
  <si>
    <t>Retain issue, decision and cleaning IDs</t>
  </si>
  <si>
    <t>RR-09</t>
  </si>
  <si>
    <t>Business approvals represented honestly</t>
  </si>
  <si>
    <t>Cleaning_Log / README</t>
  </si>
  <si>
    <t>Pending items disclosed</t>
  </si>
  <si>
    <t>5 simulated approvals disclosed</t>
  </si>
  <si>
    <t>PASS WITH DISCLOSURE</t>
  </si>
  <si>
    <t>Misleading portfolio claim</t>
  </si>
  <si>
    <t>State that approvals are simulated</t>
  </si>
  <si>
    <t>RR-10</t>
  </si>
  <si>
    <t>Technical formula errors removed</t>
  </si>
  <si>
    <t>Workbook error scan</t>
  </si>
  <si>
    <t>No #REF/#NAME/#VALUE errors</t>
  </si>
  <si>
    <t>No formula errors found</t>
  </si>
  <si>
    <t>Broken workbook</t>
  </si>
  <si>
    <t>RR-11</t>
  </si>
  <si>
    <t>Clean data suitable for analysis</t>
  </si>
  <si>
    <t>README and DQ summary</t>
  </si>
  <si>
    <t>Confirmed</t>
  </si>
  <si>
    <t>Unreliable SQL / BI results</t>
  </si>
  <si>
    <t>Use clean workbook only</t>
  </si>
  <si>
    <t>Release decision</t>
  </si>
  <si>
    <t>APPROVED FOR PORTFOLIO RELEASE. The clean workbook is technically validated and suitable for Project 4 SQL analysis. The release is a simulated consulting deliverable, not a production-system migration. Five business approvals are transparently identified as simulated and must not be presented as approvals from a real client organisation.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</si>
</sst>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
    <numFmt numFmtId="165" formatCode="0.0%"/>
    <numFmt numFmtId="166" formatCode="yyyy\-mm\-dd"/>
  </numFmts>
  <fonts count="13">
    <font>
      <sz val="11"/>
      <name val="Carlito"/>
    </font>
    <font>
      <b/>
      <sz val="18"/>
      <color rgb="FFFFFFFF"/>
      <name val="Palatino Linotype"/>
      <family val="1"/>
    </font>
    <font>
      <sz val="11"/>
      <name val="Palatino Linotype"/>
      <family val="1"/>
    </font>
    <font>
      <b/>
      <sz val="11"/>
      <color rgb="FFFFFFFF"/>
      <name val="Palatino Linotype"/>
      <family val="1"/>
    </font>
    <font>
      <b/>
      <sz val="12"/>
      <color rgb="FF17365D"/>
      <name val="Palatino Linotype"/>
      <family val="1"/>
    </font>
    <font>
      <b/>
      <sz val="12"/>
      <color rgb="FF006100"/>
      <name val="Palatino Linotype"/>
      <family val="1"/>
    </font>
    <font>
      <b/>
      <sz val="11"/>
      <color rgb="FF006100"/>
      <name val="Palatino Linotype"/>
      <family val="1"/>
    </font>
    <font>
      <b/>
      <sz val="11"/>
      <color rgb="FF1F1F1F"/>
      <name val="Palatino Linotype"/>
      <family val="1"/>
    </font>
    <font>
      <b/>
      <sz val="16"/>
      <color rgb="FFFFFFFF"/>
      <name val="Palatino Linotype"/>
      <family val="1"/>
    </font>
    <font>
      <b/>
      <sz val="11"/>
      <name val="Palatino Linotype"/>
      <family val="1"/>
    </font>
    <font>
      <i/>
      <sz val="11"/>
      <color rgb="FF17365D"/>
      <name val="Palatino Linotype"/>
      <family val="1"/>
    </font>
    <font>
      <b/>
      <sz val="15"/>
      <color rgb="FFFFFFFF"/>
      <name val="Palatino Linotype"/>
      <family val="1"/>
    </font>
    <font>
      <b/>
      <sz val="13"/>
      <color rgb="FFFFFFFF"/>
      <name val="Palatino Linotype"/>
      <family val="1"/>
    </font>
  </fonts>
  <fills count="16">
    <fill>
      <patternFill patternType="none"/>
    </fill>
    <fill>
      <patternFill patternType="gray125"/>
    </fill>
    <fill>
      <patternFill patternType="solid">
        <fgColor rgb="FF17365D"/>
      </patternFill>
    </fill>
    <fill>
      <patternFill patternType="solid">
        <fgColor rgb="FF2F75B5"/>
      </patternFill>
    </fill>
    <fill>
      <patternFill patternType="solid">
        <fgColor rgb="FF92D050"/>
      </patternFill>
    </fill>
    <fill>
      <patternFill patternType="solid">
        <fgColor rgb="FFD9EAF7"/>
      </patternFill>
    </fill>
    <fill>
      <patternFill patternType="solid">
        <fgColor rgb="FF17365D"/>
      </patternFill>
    </fill>
    <fill>
      <patternFill patternType="solid">
        <fgColor rgb="FF2F75B5"/>
      </patternFill>
    </fill>
    <fill>
      <patternFill patternType="solid">
        <fgColor rgb="FFD9EAF7"/>
      </patternFill>
    </fill>
    <fill>
      <patternFill patternType="solid">
        <fgColor rgb="FFFCE4D6"/>
      </patternFill>
    </fill>
    <fill>
      <patternFill patternType="solid">
        <fgColor rgb="FFE2F0D9"/>
      </patternFill>
    </fill>
    <fill>
      <patternFill patternType="solid">
        <fgColor rgb="FF17365D"/>
      </patternFill>
    </fill>
    <fill>
      <patternFill patternType="solid">
        <fgColor rgb="FF2F75B5"/>
      </patternFill>
    </fill>
    <fill>
      <patternFill patternType="solid">
        <fgColor rgb="FFD9EAF7"/>
      </patternFill>
    </fill>
    <fill>
      <patternFill patternType="solid">
        <fgColor rgb="FFFCE4D6"/>
      </patternFill>
    </fill>
    <fill>
      <patternFill patternType="solid">
        <fgColor rgb="FFE2F0D9"/>
      </patternFill>
    </fill>
  </fills>
  <borders count="18">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70">
    <xf numFmtId="0" fontId="0" fillId="0" borderId="0" xfId="0"/>
    <xf numFmtId="0" fontId="1" fillId="11" borderId="0" xfId="0" applyFont="1" applyFill="1" applyAlignment="1">
      <alignment horizontal="left" vertical="center" wrapText="1"/>
    </xf>
    <xf numFmtId="0" fontId="2" fillId="0" borderId="0" xfId="0" applyFont="1"/>
    <xf numFmtId="0" fontId="3" fillId="12" borderId="1" xfId="0" applyFont="1" applyFill="1" applyBorder="1" applyAlignment="1">
      <alignment horizontal="center" vertical="center" wrapText="1"/>
    </xf>
    <xf numFmtId="0" fontId="3" fillId="12" borderId="2" xfId="0" applyFont="1" applyFill="1" applyBorder="1" applyAlignment="1">
      <alignment horizontal="center" vertical="center" wrapText="1"/>
    </xf>
    <xf numFmtId="0" fontId="3" fillId="12" borderId="3" xfId="0" applyFont="1" applyFill="1" applyBorder="1" applyAlignment="1">
      <alignment horizontal="center" vertical="center"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10" xfId="0" applyFont="1" applyBorder="1" applyAlignment="1">
      <alignment vertical="top" wrapText="1"/>
    </xf>
    <xf numFmtId="0" fontId="2" fillId="0" borderId="0" xfId="0" applyFont="1" applyAlignment="1">
      <alignment vertical="top" wrapText="1"/>
    </xf>
    <xf numFmtId="0" fontId="2" fillId="0" borderId="11" xfId="0" applyFont="1" applyBorder="1" applyAlignment="1">
      <alignment vertical="top" wrapText="1"/>
    </xf>
    <xf numFmtId="0" fontId="2" fillId="0" borderId="12" xfId="0" applyFont="1" applyBorder="1" applyAlignment="1">
      <alignment vertical="top" wrapText="1"/>
    </xf>
    <xf numFmtId="0" fontId="2" fillId="0" borderId="13" xfId="0" applyFont="1" applyBorder="1" applyAlignment="1">
      <alignment vertical="top" wrapText="1"/>
    </xf>
    <xf numFmtId="0" fontId="2" fillId="0" borderId="14" xfId="0" applyFont="1" applyBorder="1" applyAlignment="1">
      <alignment vertical="top" wrapText="1"/>
    </xf>
    <xf numFmtId="0" fontId="4" fillId="13" borderId="0" xfId="0" applyFont="1" applyFill="1" applyAlignment="1">
      <alignment vertical="center" wrapText="1"/>
    </xf>
    <xf numFmtId="0" fontId="5" fillId="15" borderId="0" xfId="0" applyFont="1" applyFill="1" applyAlignment="1">
      <alignment vertical="center" wrapText="1"/>
    </xf>
    <xf numFmtId="0" fontId="8" fillId="6" borderId="0" xfId="0" applyFont="1" applyFill="1" applyAlignment="1">
      <alignment vertical="center" wrapText="1"/>
    </xf>
    <xf numFmtId="0" fontId="4" fillId="8" borderId="0" xfId="0" applyFont="1" applyFill="1" applyAlignment="1">
      <alignment vertical="center" wrapText="1"/>
    </xf>
    <xf numFmtId="0" fontId="3" fillId="7" borderId="0" xfId="0" applyFont="1" applyFill="1" applyAlignment="1">
      <alignment horizontal="center" vertical="center" wrapText="1"/>
    </xf>
    <xf numFmtId="0" fontId="4" fillId="8" borderId="0" xfId="0" applyFont="1" applyFill="1" applyAlignment="1">
      <alignment vertical="center" wrapText="1"/>
    </xf>
    <xf numFmtId="0" fontId="9" fillId="8" borderId="0" xfId="0" applyFont="1" applyFill="1" applyAlignment="1">
      <alignment wrapText="1"/>
    </xf>
    <xf numFmtId="0" fontId="8" fillId="6" borderId="0" xfId="0" applyFont="1" applyFill="1" applyAlignment="1">
      <alignment horizontal="left" vertical="center" wrapText="1"/>
    </xf>
    <xf numFmtId="0" fontId="2" fillId="0" borderId="0" xfId="0" applyFont="1" applyAlignment="1">
      <alignment vertical="center" wrapText="1"/>
    </xf>
    <xf numFmtId="0" fontId="2" fillId="0" borderId="0" xfId="0" applyFont="1" applyAlignment="1">
      <alignment horizontal="right" vertical="center" wrapText="1"/>
    </xf>
    <xf numFmtId="0" fontId="3" fillId="6" borderId="0" xfId="0" applyFont="1" applyFill="1"/>
    <xf numFmtId="0" fontId="10" fillId="5" borderId="0" xfId="0" applyFont="1" applyFill="1" applyAlignment="1">
      <alignment horizontal="left" vertical="center" wrapText="1"/>
    </xf>
    <xf numFmtId="0" fontId="6" fillId="10" borderId="0" xfId="0" applyFont="1" applyFill="1" applyAlignment="1">
      <alignment wrapText="1"/>
    </xf>
    <xf numFmtId="0" fontId="6" fillId="10" borderId="0" xfId="0" applyFont="1" applyFill="1" applyAlignment="1">
      <alignment wrapText="1"/>
    </xf>
    <xf numFmtId="0" fontId="3" fillId="3" borderId="0" xfId="0" applyFont="1" applyFill="1" applyAlignment="1">
      <alignment horizontal="center" vertical="center" wrapText="1"/>
    </xf>
    <xf numFmtId="0" fontId="9" fillId="9" borderId="0" xfId="0" applyFont="1" applyFill="1" applyAlignment="1">
      <alignment wrapText="1"/>
    </xf>
    <xf numFmtId="0" fontId="9" fillId="9" borderId="0" xfId="0" applyFont="1" applyFill="1" applyAlignment="1">
      <alignment wrapText="1"/>
    </xf>
    <xf numFmtId="0" fontId="11" fillId="2" borderId="0" xfId="0" applyFont="1" applyFill="1" applyAlignment="1">
      <alignment vertical="center"/>
    </xf>
    <xf numFmtId="0" fontId="2" fillId="0" borderId="0" xfId="0" applyFont="1" applyAlignment="1">
      <alignment horizontal="left" vertical="center" wrapText="1"/>
    </xf>
    <xf numFmtId="0" fontId="2" fillId="0" borderId="0" xfId="0" applyFont="1" applyAlignment="1">
      <alignment wrapText="1"/>
    </xf>
    <xf numFmtId="166" fontId="2" fillId="0" borderId="0" xfId="0" applyNumberFormat="1" applyFont="1" applyAlignment="1">
      <alignment wrapText="1"/>
    </xf>
    <xf numFmtId="14" fontId="2" fillId="0" borderId="0" xfId="0" applyNumberFormat="1" applyFont="1" applyAlignment="1">
      <alignment wrapText="1"/>
    </xf>
    <xf numFmtId="164" fontId="2" fillId="0" borderId="0" xfId="0" applyNumberFormat="1" applyFont="1" applyAlignment="1">
      <alignment wrapText="1"/>
    </xf>
    <xf numFmtId="0" fontId="2" fillId="0" borderId="0" xfId="0" applyFont="1" applyAlignment="1">
      <alignment horizontal="left" wrapText="1"/>
      <extLst>
        <ext xmlns:xfpb="http://schemas.microsoft.com/office/spreadsheetml/2022/featurepropertybag" uri="{C7286773-470A-42A8-94C5-96B5CB345126}">
          <xfpb:xfComplement i="0"/>
        </ext>
      </extLst>
    </xf>
    <xf numFmtId="9" fontId="2" fillId="0" borderId="0" xfId="0" applyNumberFormat="1" applyFont="1" applyAlignment="1">
      <alignment wrapText="1"/>
    </xf>
    <xf numFmtId="10" fontId="2" fillId="0" borderId="0" xfId="0" applyNumberFormat="1" applyFont="1" applyAlignment="1">
      <alignment wrapText="1"/>
    </xf>
    <xf numFmtId="0" fontId="2" fillId="0" borderId="0" xfId="0" applyFont="1" applyAlignment="1">
      <alignment wrapText="1"/>
      <extLst>
        <ext xmlns:xfpb="http://schemas.microsoft.com/office/spreadsheetml/2022/featurepropertybag" uri="{C7286773-470A-42A8-94C5-96B5CB345126}">
          <xfpb:xfComplement i="0"/>
        </ext>
      </extLst>
    </xf>
    <xf numFmtId="0" fontId="2" fillId="4" borderId="0" xfId="0" applyFont="1" applyFill="1" applyAlignment="1">
      <alignment wrapText="1"/>
      <extLst>
        <ext xmlns:xfpb="http://schemas.microsoft.com/office/spreadsheetml/2022/featurepropertybag" uri="{C7286773-470A-42A8-94C5-96B5CB345126}">
          <xfpb:xfComplement i="0"/>
        </ext>
      </extLst>
    </xf>
    <xf numFmtId="0" fontId="2" fillId="4" borderId="0" xfId="0" applyFont="1" applyFill="1" applyAlignment="1">
      <alignment wrapText="1"/>
    </xf>
    <xf numFmtId="166" fontId="2" fillId="4" borderId="0" xfId="0" applyNumberFormat="1" applyFont="1" applyFill="1" applyAlignment="1">
      <alignment wrapText="1"/>
    </xf>
    <xf numFmtId="165" fontId="2" fillId="0" borderId="0" xfId="0" applyNumberFormat="1" applyFont="1" applyAlignment="1">
      <alignment wrapText="1"/>
    </xf>
    <xf numFmtId="164" fontId="2" fillId="4" borderId="0" xfId="0" applyNumberFormat="1" applyFont="1" applyFill="1" applyAlignment="1">
      <alignment wrapText="1"/>
    </xf>
    <xf numFmtId="165" fontId="2" fillId="4" borderId="0" xfId="0" applyNumberFormat="1" applyFont="1" applyFill="1" applyAlignment="1">
      <alignment wrapText="1"/>
    </xf>
    <xf numFmtId="0" fontId="12" fillId="12" borderId="1" xfId="0" applyFont="1" applyFill="1" applyBorder="1" applyAlignment="1">
      <alignment horizontal="center" vertical="center" wrapText="1"/>
    </xf>
    <xf numFmtId="0" fontId="2" fillId="0" borderId="4" xfId="0" applyFont="1" applyBorder="1" applyAlignment="1">
      <alignment vertical="top" wrapText="1"/>
    </xf>
    <xf numFmtId="0" fontId="2" fillId="0" borderId="5" xfId="0" applyFont="1" applyBorder="1" applyAlignment="1">
      <alignment vertical="top" wrapText="1"/>
    </xf>
    <xf numFmtId="0" fontId="2" fillId="0" borderId="6" xfId="0" applyFont="1" applyBorder="1" applyAlignment="1">
      <alignment vertical="top" wrapText="1"/>
    </xf>
    <xf numFmtId="0" fontId="9" fillId="0" borderId="0" xfId="0" applyFont="1" applyAlignment="1">
      <alignment wrapText="1"/>
    </xf>
    <xf numFmtId="0" fontId="2" fillId="0" borderId="0" xfId="0" applyFont="1" applyAlignment="1">
      <alignment vertical="top" wrapText="1"/>
    </xf>
    <xf numFmtId="0" fontId="9" fillId="0" borderId="0" xfId="0" applyFont="1" applyAlignment="1">
      <alignment vertical="top" wrapText="1"/>
    </xf>
    <xf numFmtId="0" fontId="2" fillId="0" borderId="0" xfId="0" applyFont="1" applyAlignment="1">
      <alignment horizontal="left" vertical="top" wrapText="1"/>
    </xf>
    <xf numFmtId="0" fontId="2" fillId="0" borderId="0" xfId="0" applyFont="1" applyAlignment="1">
      <alignment horizontal="left" vertical="top" wrapText="1"/>
    </xf>
    <xf numFmtId="0" fontId="4" fillId="13" borderId="0" xfId="0" applyFont="1" applyFill="1" applyAlignment="1">
      <alignment horizontal="left" vertical="center" wrapText="1"/>
    </xf>
    <xf numFmtId="0" fontId="2" fillId="0" borderId="4" xfId="0" applyFont="1" applyBorder="1" applyAlignment="1">
      <alignment horizontal="left" vertical="top" wrapText="1"/>
    </xf>
    <xf numFmtId="0" fontId="4" fillId="5" borderId="7" xfId="0" applyFont="1" applyFill="1" applyBorder="1" applyAlignment="1">
      <alignment horizontal="left" vertical="top" wrapText="1"/>
    </xf>
    <xf numFmtId="0" fontId="4" fillId="5" borderId="8" xfId="0" applyFont="1" applyFill="1" applyBorder="1" applyAlignment="1">
      <alignment vertical="top" wrapText="1"/>
    </xf>
    <xf numFmtId="0" fontId="2" fillId="0" borderId="10" xfId="0" applyFont="1" applyBorder="1" applyAlignment="1">
      <alignment horizontal="left" vertical="top" wrapText="1"/>
    </xf>
    <xf numFmtId="0" fontId="7" fillId="14" borderId="0" xfId="0" applyFont="1" applyFill="1" applyAlignment="1">
      <alignment vertical="center" wrapText="1"/>
    </xf>
    <xf numFmtId="0" fontId="5" fillId="15" borderId="0" xfId="0" applyFont="1" applyFill="1" applyAlignment="1">
      <alignment horizontal="center" vertical="center" wrapText="1"/>
    </xf>
    <xf numFmtId="0" fontId="3" fillId="12" borderId="15" xfId="0" applyFont="1" applyFill="1" applyBorder="1" applyAlignment="1">
      <alignment horizontal="center" vertical="top" wrapText="1"/>
    </xf>
    <xf numFmtId="0" fontId="3" fillId="12" borderId="16" xfId="0" applyFont="1" applyFill="1" applyBorder="1" applyAlignment="1">
      <alignment horizontal="center" vertical="top" wrapText="1"/>
    </xf>
    <xf numFmtId="0" fontId="3" fillId="12" borderId="17" xfId="0" applyFont="1" applyFill="1" applyBorder="1" applyAlignment="1">
      <alignment horizontal="center" vertical="top" wrapText="1"/>
    </xf>
    <xf numFmtId="0" fontId="4" fillId="8" borderId="0" xfId="0" applyFont="1" applyFill="1" applyAlignment="1">
      <alignment horizontal="center" vertical="center" wrapText="1"/>
    </xf>
    <xf numFmtId="0" fontId="2" fillId="0" borderId="0" xfId="0" applyFont="1" applyAlignment="1">
      <alignment vertical="center" wrapText="1"/>
    </xf>
    <xf numFmtId="0" fontId="6" fillId="15" borderId="0" xfId="0" applyFont="1" applyFill="1" applyAlignment="1">
      <alignment vertical="center" wrapText="1"/>
    </xf>
  </cellXfs>
  <cellStyles count="1">
    <cellStyle name="Normal" xfId="0" builtinId="0"/>
  </cellStyles>
  <dxfs count="6">
    <dxf>
      <font>
        <b/>
        <color rgb="FF1F1F1F"/>
      </font>
      <fill>
        <patternFill patternType="solid">
          <bgColor rgb="FFFCE4D6"/>
        </patternFill>
      </fill>
    </dxf>
    <dxf>
      <font>
        <b/>
        <color rgb="FF006100"/>
      </font>
      <fill>
        <patternFill patternType="solid">
          <bgColor rgb="FFE2F0D9"/>
        </patternFill>
      </fill>
    </dxf>
    <dxf>
      <font>
        <b/>
      </font>
      <fill>
        <patternFill>
          <bgColor rgb="FFFCE4D6"/>
        </patternFill>
      </fill>
    </dxf>
    <dxf>
      <font>
        <b/>
        <color rgb="FF006100"/>
      </font>
      <fill>
        <patternFill>
          <bgColor rgb="FFE2F0D9"/>
        </patternFill>
      </fill>
    </dxf>
    <dxf>
      <fill>
        <patternFill>
          <bgColor rgb="FFF4CCCC"/>
        </patternFill>
      </fill>
    </dxf>
    <dxf>
      <fill>
        <patternFill>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22/11/relationships/FeaturePropertyBag" Target="featurePropertyBag/featurePropertyBag.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6"/>
  <sheetViews>
    <sheetView workbookViewId="0">
      <selection activeCell="B21" sqref="B21"/>
    </sheetView>
  </sheetViews>
  <sheetFormatPr defaultRowHeight="15.6"/>
  <cols>
    <col min="1" max="2" width="26" style="2" customWidth="1"/>
    <col min="3" max="3" width="27" style="2" customWidth="1"/>
    <col min="4" max="4" width="25" style="2" customWidth="1"/>
    <col min="5" max="5" width="27" style="2" customWidth="1"/>
    <col min="6" max="6" width="25" style="2" customWidth="1"/>
    <col min="7" max="7" width="24" style="2" customWidth="1"/>
    <col min="8" max="9" width="27" style="2" customWidth="1"/>
    <col min="10" max="10" width="28" style="2" customWidth="1"/>
    <col min="11" max="16384" width="8.796875" style="2"/>
  </cols>
  <sheetData>
    <row r="1" spans="1:10" ht="27.15" customHeight="1">
      <c r="A1" s="1" t="s">
        <v>318</v>
      </c>
      <c r="B1" s="1"/>
      <c r="C1" s="1"/>
      <c r="D1" s="1"/>
      <c r="E1" s="1"/>
      <c r="F1" s="1"/>
      <c r="G1" s="1"/>
      <c r="H1" s="1"/>
      <c r="I1" s="1"/>
      <c r="J1" s="1"/>
    </row>
    <row r="2" spans="1:10">
      <c r="A2" s="34"/>
      <c r="B2" s="34"/>
      <c r="C2" s="34"/>
      <c r="D2" s="34"/>
      <c r="E2" s="34"/>
      <c r="F2" s="34"/>
      <c r="G2" s="34"/>
      <c r="H2" s="34"/>
    </row>
    <row r="3" spans="1:10" ht="18.600000000000001">
      <c r="A3" s="48" t="s">
        <v>319</v>
      </c>
      <c r="B3" s="4" t="s">
        <v>320</v>
      </c>
      <c r="C3" s="4" t="s">
        <v>321</v>
      </c>
      <c r="D3" s="4" t="s">
        <v>322</v>
      </c>
      <c r="E3" s="4" t="s">
        <v>323</v>
      </c>
      <c r="F3" s="4" t="s">
        <v>324</v>
      </c>
      <c r="G3" s="4" t="s">
        <v>325</v>
      </c>
      <c r="H3" s="4" t="s">
        <v>326</v>
      </c>
      <c r="I3" s="4" t="s">
        <v>327</v>
      </c>
      <c r="J3" s="5" t="s">
        <v>328</v>
      </c>
    </row>
    <row r="4" spans="1:10" ht="31.2">
      <c r="A4" s="49" t="s">
        <v>329</v>
      </c>
      <c r="B4" s="50" t="s">
        <v>330</v>
      </c>
      <c r="C4" s="50" t="s">
        <v>238</v>
      </c>
      <c r="D4" s="50" t="s">
        <v>331</v>
      </c>
      <c r="E4" s="50" t="s">
        <v>332</v>
      </c>
      <c r="F4" s="50" t="s">
        <v>333</v>
      </c>
      <c r="G4" s="50" t="s">
        <v>334</v>
      </c>
      <c r="H4" s="50" t="s">
        <v>335</v>
      </c>
      <c r="I4" s="50" t="s">
        <v>336</v>
      </c>
      <c r="J4" s="51" t="s">
        <v>337</v>
      </c>
    </row>
    <row r="5" spans="1:10">
      <c r="A5" s="52"/>
      <c r="B5" s="34"/>
      <c r="C5" s="34"/>
      <c r="D5" s="34"/>
      <c r="E5" s="34"/>
      <c r="F5" s="34"/>
      <c r="G5" s="34"/>
      <c r="H5" s="34"/>
    </row>
    <row r="6" spans="1:10" ht="19.2" customHeight="1">
      <c r="A6" s="15" t="s">
        <v>338</v>
      </c>
      <c r="B6" s="15"/>
      <c r="C6" s="15"/>
      <c r="D6" s="15"/>
      <c r="E6" s="15"/>
      <c r="F6" s="15"/>
      <c r="G6" s="15"/>
      <c r="H6" s="15"/>
      <c r="I6" s="15"/>
      <c r="J6" s="15"/>
    </row>
    <row r="7" spans="1:10">
      <c r="A7" s="34"/>
      <c r="B7" s="34"/>
      <c r="C7" s="34"/>
      <c r="D7" s="34"/>
      <c r="E7" s="34"/>
      <c r="F7" s="34"/>
      <c r="G7" s="34"/>
      <c r="H7" s="34"/>
    </row>
    <row r="8" spans="1:10">
      <c r="A8" s="53" t="s">
        <v>339</v>
      </c>
      <c r="B8" s="53"/>
      <c r="C8" s="53"/>
      <c r="D8" s="53"/>
      <c r="E8" s="53"/>
      <c r="F8" s="53"/>
      <c r="G8" s="53"/>
      <c r="H8" s="53"/>
      <c r="I8" s="10"/>
      <c r="J8" s="10"/>
    </row>
    <row r="9" spans="1:10">
      <c r="A9" s="54"/>
      <c r="B9" s="53"/>
      <c r="C9" s="53"/>
      <c r="D9" s="53"/>
      <c r="E9" s="53"/>
      <c r="F9" s="53"/>
      <c r="G9" s="53"/>
      <c r="H9" s="53"/>
      <c r="I9" s="10"/>
      <c r="J9" s="10"/>
    </row>
    <row r="10" spans="1:10">
      <c r="A10" s="55"/>
      <c r="B10" s="53"/>
      <c r="C10" s="53"/>
      <c r="D10" s="53"/>
      <c r="E10" s="53"/>
      <c r="F10" s="53"/>
      <c r="G10" s="53"/>
      <c r="H10" s="53"/>
      <c r="I10" s="10"/>
      <c r="J10" s="10"/>
    </row>
    <row r="11" spans="1:10">
      <c r="A11" s="56"/>
      <c r="B11" s="10"/>
      <c r="C11" s="10"/>
      <c r="D11" s="10"/>
      <c r="E11" s="10"/>
      <c r="F11" s="10"/>
      <c r="G11" s="10"/>
      <c r="H11" s="10"/>
      <c r="I11" s="10"/>
      <c r="J11" s="10"/>
    </row>
    <row r="12" spans="1:10" ht="13.2" customHeight="1">
      <c r="A12" s="67"/>
      <c r="B12" s="67"/>
      <c r="C12" s="67"/>
      <c r="D12" s="67"/>
      <c r="E12" s="67"/>
      <c r="F12" s="67"/>
      <c r="G12" s="67"/>
      <c r="H12" s="67"/>
      <c r="I12" s="67"/>
      <c r="J12" s="67"/>
    </row>
    <row r="13" spans="1:10" ht="13.2" customHeight="1">
      <c r="A13" s="57" t="s">
        <v>340</v>
      </c>
      <c r="B13" s="15"/>
      <c r="C13" s="15"/>
      <c r="D13" s="15"/>
      <c r="E13" s="15"/>
      <c r="F13" s="15"/>
      <c r="G13" s="15"/>
      <c r="H13" s="15"/>
      <c r="I13" s="15"/>
      <c r="J13" s="15"/>
    </row>
    <row r="14" spans="1:10">
      <c r="A14" s="3" t="s">
        <v>341</v>
      </c>
      <c r="B14" s="4" t="s">
        <v>342</v>
      </c>
      <c r="C14" s="4" t="s">
        <v>343</v>
      </c>
      <c r="D14" s="4" t="s">
        <v>344</v>
      </c>
      <c r="E14" s="5" t="s">
        <v>345</v>
      </c>
      <c r="F14" s="34"/>
      <c r="G14" s="3" t="s">
        <v>346</v>
      </c>
      <c r="H14" s="4" t="s">
        <v>347</v>
      </c>
      <c r="I14" s="4" t="s">
        <v>348</v>
      </c>
      <c r="J14" s="5" t="s">
        <v>349</v>
      </c>
    </row>
    <row r="15" spans="1:10" ht="46.8">
      <c r="A15" s="58" t="s">
        <v>350</v>
      </c>
      <c r="B15" s="50" t="s">
        <v>351</v>
      </c>
      <c r="C15" s="50" t="s">
        <v>352</v>
      </c>
      <c r="D15" s="50" t="s">
        <v>353</v>
      </c>
      <c r="E15" s="51" t="s">
        <v>354</v>
      </c>
      <c r="F15" s="34"/>
      <c r="G15" s="6" t="s">
        <v>355</v>
      </c>
      <c r="H15" s="7">
        <v>7</v>
      </c>
      <c r="I15" s="7" t="s">
        <v>356</v>
      </c>
      <c r="J15" s="8" t="s">
        <v>357</v>
      </c>
    </row>
    <row r="16" spans="1:10" ht="31.2">
      <c r="A16" s="33"/>
      <c r="B16" s="34"/>
      <c r="C16" s="34"/>
      <c r="D16" s="34"/>
      <c r="E16" s="34"/>
      <c r="F16" s="34"/>
      <c r="G16" s="9" t="s">
        <v>358</v>
      </c>
      <c r="H16" s="10">
        <v>42</v>
      </c>
      <c r="I16" s="10" t="s">
        <v>359</v>
      </c>
      <c r="J16" s="11" t="s">
        <v>360</v>
      </c>
    </row>
    <row r="17" spans="1:10" ht="31.2">
      <c r="A17" s="33"/>
      <c r="B17" s="34"/>
      <c r="C17" s="34"/>
      <c r="D17" s="34"/>
      <c r="E17" s="34"/>
      <c r="F17" s="34"/>
      <c r="G17" s="9" t="s">
        <v>361</v>
      </c>
      <c r="H17" s="10">
        <v>42</v>
      </c>
      <c r="I17" s="10" t="s">
        <v>362</v>
      </c>
      <c r="J17" s="11" t="s">
        <v>363</v>
      </c>
    </row>
    <row r="18" spans="1:10">
      <c r="A18" s="34"/>
      <c r="B18" s="34"/>
      <c r="C18" s="34"/>
      <c r="D18" s="34"/>
      <c r="E18" s="34"/>
      <c r="F18" s="34"/>
      <c r="G18" s="9" t="s">
        <v>364</v>
      </c>
      <c r="H18" s="10">
        <v>37</v>
      </c>
      <c r="I18" s="10" t="s">
        <v>365</v>
      </c>
      <c r="J18" s="11" t="s">
        <v>366</v>
      </c>
    </row>
    <row r="19" spans="1:10" ht="31.2">
      <c r="A19" s="52"/>
      <c r="B19" s="34"/>
      <c r="C19" s="34"/>
      <c r="D19" s="34"/>
      <c r="E19" s="34"/>
      <c r="F19" s="34"/>
      <c r="G19" s="9" t="s">
        <v>367</v>
      </c>
      <c r="H19" s="10">
        <v>5</v>
      </c>
      <c r="I19" s="10" t="s">
        <v>368</v>
      </c>
      <c r="J19" s="11" t="s">
        <v>369</v>
      </c>
    </row>
    <row r="20" spans="1:10" ht="31.2">
      <c r="A20" s="33"/>
      <c r="B20" s="34"/>
      <c r="C20" s="34"/>
      <c r="D20" s="34"/>
      <c r="E20" s="34"/>
      <c r="F20" s="34"/>
      <c r="G20" s="9" t="s">
        <v>370</v>
      </c>
      <c r="H20" s="10">
        <v>0</v>
      </c>
      <c r="I20" s="10" t="s">
        <v>371</v>
      </c>
      <c r="J20" s="11" t="s">
        <v>372</v>
      </c>
    </row>
    <row r="21" spans="1:10" ht="31.2">
      <c r="A21" s="33"/>
      <c r="B21" s="34"/>
      <c r="C21" s="34"/>
      <c r="D21" s="34"/>
      <c r="E21" s="34"/>
      <c r="F21" s="34"/>
      <c r="G21" s="12" t="s">
        <v>373</v>
      </c>
      <c r="H21" s="13">
        <v>374</v>
      </c>
      <c r="I21" s="13" t="s">
        <v>374</v>
      </c>
      <c r="J21" s="14" t="s">
        <v>375</v>
      </c>
    </row>
    <row r="22" spans="1:10">
      <c r="A22" s="33"/>
      <c r="B22" s="34"/>
      <c r="C22" s="34"/>
      <c r="D22" s="34"/>
      <c r="E22" s="34"/>
      <c r="F22" s="34"/>
      <c r="G22" s="34"/>
      <c r="H22" s="34"/>
    </row>
    <row r="23" spans="1:10" ht="19.2" customHeight="1">
      <c r="A23" s="57" t="s">
        <v>376</v>
      </c>
      <c r="B23" s="15"/>
      <c r="C23" s="15"/>
      <c r="D23" s="15"/>
      <c r="E23" s="15"/>
      <c r="F23" s="15"/>
      <c r="G23" s="15"/>
      <c r="H23" s="15"/>
      <c r="I23" s="15"/>
      <c r="J23" s="15"/>
    </row>
    <row r="24" spans="1:10">
      <c r="A24" s="33"/>
      <c r="B24" s="34"/>
      <c r="C24" s="34"/>
      <c r="D24" s="34"/>
      <c r="E24" s="34"/>
      <c r="F24" s="34"/>
      <c r="G24" s="34"/>
      <c r="H24" s="34"/>
    </row>
    <row r="25" spans="1:10">
      <c r="A25" s="3" t="s">
        <v>377</v>
      </c>
      <c r="B25" s="4" t="s">
        <v>378</v>
      </c>
      <c r="C25" s="4" t="s">
        <v>379</v>
      </c>
      <c r="D25" s="4" t="s">
        <v>380</v>
      </c>
      <c r="E25" s="4" t="s">
        <v>381</v>
      </c>
      <c r="F25" s="4" t="s">
        <v>382</v>
      </c>
      <c r="G25" s="4" t="s">
        <v>383</v>
      </c>
      <c r="H25" s="4" t="s">
        <v>384</v>
      </c>
      <c r="I25" s="4" t="s">
        <v>385</v>
      </c>
      <c r="J25" s="5" t="s">
        <v>386</v>
      </c>
    </row>
    <row r="26" spans="1:10">
      <c r="A26" s="59" t="s">
        <v>387</v>
      </c>
      <c r="B26" s="60" t="s">
        <v>388</v>
      </c>
      <c r="C26" s="60" t="s">
        <v>389</v>
      </c>
      <c r="D26" s="60" t="s">
        <v>390</v>
      </c>
      <c r="E26" s="60" t="s">
        <v>391</v>
      </c>
      <c r="F26" s="60" t="s">
        <v>392</v>
      </c>
      <c r="G26" s="60" t="s">
        <v>393</v>
      </c>
      <c r="H26" s="60" t="s">
        <v>394</v>
      </c>
      <c r="I26" s="7" t="s">
        <v>395</v>
      </c>
      <c r="J26" s="8" t="s">
        <v>396</v>
      </c>
    </row>
    <row r="27" spans="1:10">
      <c r="A27" s="61"/>
      <c r="B27" s="10"/>
      <c r="C27" s="10"/>
      <c r="D27" s="10"/>
      <c r="E27" s="10"/>
      <c r="F27" s="10"/>
      <c r="G27" s="10"/>
      <c r="H27" s="10"/>
      <c r="I27" s="10"/>
      <c r="J27" s="11"/>
    </row>
    <row r="28" spans="1:10">
      <c r="A28" s="33"/>
      <c r="B28" s="34"/>
      <c r="C28" s="34"/>
      <c r="D28" s="34"/>
      <c r="E28" s="34"/>
      <c r="F28" s="34"/>
      <c r="G28" s="34"/>
      <c r="H28" s="34"/>
    </row>
    <row r="29" spans="1:10" ht="19.2" customHeight="1">
      <c r="A29" s="57" t="s">
        <v>397</v>
      </c>
      <c r="B29" s="15"/>
      <c r="C29" s="15"/>
      <c r="D29" s="15"/>
      <c r="E29" s="15"/>
      <c r="F29" s="15"/>
      <c r="G29" s="15"/>
      <c r="H29" s="15"/>
      <c r="I29" s="15"/>
      <c r="J29" s="15"/>
    </row>
    <row r="30" spans="1:10">
      <c r="A30" s="27"/>
      <c r="B30" s="27"/>
      <c r="C30" s="27"/>
      <c r="D30" s="27"/>
      <c r="E30" s="27"/>
      <c r="F30" s="27"/>
      <c r="G30" s="27"/>
      <c r="H30" s="27"/>
    </row>
    <row r="31" spans="1:10">
      <c r="A31" s="3" t="s">
        <v>398</v>
      </c>
      <c r="B31" s="4" t="s">
        <v>399</v>
      </c>
      <c r="C31" s="4" t="s">
        <v>400</v>
      </c>
      <c r="D31" s="4" t="s">
        <v>401</v>
      </c>
      <c r="E31" s="4" t="s">
        <v>402</v>
      </c>
      <c r="F31" s="5" t="s">
        <v>403</v>
      </c>
      <c r="G31" s="27"/>
      <c r="H31" s="3" t="s">
        <v>404</v>
      </c>
      <c r="I31" s="4" t="s">
        <v>405</v>
      </c>
      <c r="J31" s="5" t="s">
        <v>406</v>
      </c>
    </row>
    <row r="32" spans="1:10" ht="31.2">
      <c r="A32" s="6" t="s">
        <v>407</v>
      </c>
      <c r="B32" s="7" t="s">
        <v>408</v>
      </c>
      <c r="C32" s="7" t="s">
        <v>409</v>
      </c>
      <c r="D32" s="7" t="s">
        <v>410</v>
      </c>
      <c r="E32" s="7" t="s">
        <v>411</v>
      </c>
      <c r="F32" s="8" t="s">
        <v>412</v>
      </c>
      <c r="H32" s="6" t="s">
        <v>413</v>
      </c>
      <c r="I32" s="7" t="s">
        <v>414</v>
      </c>
      <c r="J32" s="8" t="s">
        <v>415</v>
      </c>
    </row>
    <row r="33" spans="1:10" ht="31.2">
      <c r="A33" s="9" t="s">
        <v>416</v>
      </c>
      <c r="B33" s="10" t="s">
        <v>417</v>
      </c>
      <c r="C33" s="10" t="s">
        <v>409</v>
      </c>
      <c r="D33" s="10" t="s">
        <v>418</v>
      </c>
      <c r="E33" s="10" t="s">
        <v>411</v>
      </c>
      <c r="F33" s="11" t="s">
        <v>419</v>
      </c>
      <c r="H33" s="9" t="s">
        <v>420</v>
      </c>
      <c r="I33" s="10" t="s">
        <v>421</v>
      </c>
      <c r="J33" s="11" t="s">
        <v>422</v>
      </c>
    </row>
    <row r="34" spans="1:10" ht="31.2">
      <c r="A34" s="9" t="s">
        <v>423</v>
      </c>
      <c r="B34" s="10" t="s">
        <v>424</v>
      </c>
      <c r="C34" s="10" t="s">
        <v>409</v>
      </c>
      <c r="D34" s="10" t="s">
        <v>425</v>
      </c>
      <c r="E34" s="10" t="s">
        <v>411</v>
      </c>
      <c r="F34" s="11" t="s">
        <v>426</v>
      </c>
      <c r="H34" s="9" t="s">
        <v>427</v>
      </c>
      <c r="I34" s="10" t="s">
        <v>428</v>
      </c>
      <c r="J34" s="11" t="s">
        <v>429</v>
      </c>
    </row>
    <row r="35" spans="1:10" ht="31.2">
      <c r="A35" s="9" t="s">
        <v>430</v>
      </c>
      <c r="B35" s="10" t="s">
        <v>431</v>
      </c>
      <c r="C35" s="10" t="s">
        <v>409</v>
      </c>
      <c r="D35" s="10" t="s">
        <v>432</v>
      </c>
      <c r="E35" s="10" t="s">
        <v>411</v>
      </c>
      <c r="F35" s="11" t="s">
        <v>433</v>
      </c>
      <c r="H35" s="9" t="s">
        <v>434</v>
      </c>
      <c r="I35" s="10" t="s">
        <v>435</v>
      </c>
      <c r="J35" s="11" t="s">
        <v>436</v>
      </c>
    </row>
    <row r="36" spans="1:10" ht="31.2">
      <c r="A36" s="9" t="s">
        <v>437</v>
      </c>
      <c r="B36" s="10" t="s">
        <v>438</v>
      </c>
      <c r="C36" s="10" t="s">
        <v>409</v>
      </c>
      <c r="D36" s="10" t="s">
        <v>439</v>
      </c>
      <c r="E36" s="10" t="s">
        <v>411</v>
      </c>
      <c r="F36" s="11" t="s">
        <v>440</v>
      </c>
      <c r="H36" s="9" t="s">
        <v>441</v>
      </c>
      <c r="I36" s="10" t="s">
        <v>442</v>
      </c>
      <c r="J36" s="11" t="s">
        <v>443</v>
      </c>
    </row>
    <row r="37" spans="1:10" ht="31.2">
      <c r="A37" s="9" t="s">
        <v>444</v>
      </c>
      <c r="B37" s="10" t="s">
        <v>445</v>
      </c>
      <c r="C37" s="10" t="s">
        <v>409</v>
      </c>
      <c r="D37" s="10" t="s">
        <v>446</v>
      </c>
      <c r="E37" s="10" t="s">
        <v>411</v>
      </c>
      <c r="F37" s="11" t="s">
        <v>447</v>
      </c>
      <c r="H37" s="9" t="s">
        <v>448</v>
      </c>
      <c r="I37" s="10" t="s">
        <v>449</v>
      </c>
      <c r="J37" s="11" t="s">
        <v>450</v>
      </c>
    </row>
    <row r="38" spans="1:10" ht="31.2">
      <c r="A38" s="9" t="s">
        <v>451</v>
      </c>
      <c r="B38" s="10" t="s">
        <v>452</v>
      </c>
      <c r="C38" s="10" t="s">
        <v>409</v>
      </c>
      <c r="D38" s="10" t="s">
        <v>453</v>
      </c>
      <c r="E38" s="10" t="s">
        <v>411</v>
      </c>
      <c r="F38" s="11" t="s">
        <v>454</v>
      </c>
      <c r="H38" s="9" t="s">
        <v>455</v>
      </c>
      <c r="I38" s="10" t="s">
        <v>456</v>
      </c>
      <c r="J38" s="11" t="s">
        <v>457</v>
      </c>
    </row>
    <row r="39" spans="1:10" ht="31.2">
      <c r="A39" s="9" t="s">
        <v>458</v>
      </c>
      <c r="B39" s="10" t="s">
        <v>459</v>
      </c>
      <c r="C39" s="10" t="s">
        <v>460</v>
      </c>
      <c r="D39" s="10" t="s">
        <v>461</v>
      </c>
      <c r="E39" s="10" t="s">
        <v>462</v>
      </c>
      <c r="F39" s="11" t="s">
        <v>463</v>
      </c>
      <c r="H39" s="9" t="s">
        <v>464</v>
      </c>
      <c r="I39" s="10" t="s">
        <v>465</v>
      </c>
      <c r="J39" s="11" t="s">
        <v>466</v>
      </c>
    </row>
    <row r="40" spans="1:10" ht="31.2">
      <c r="A40" s="9" t="s">
        <v>467</v>
      </c>
      <c r="B40" s="10" t="s">
        <v>468</v>
      </c>
      <c r="C40" s="10" t="s">
        <v>469</v>
      </c>
      <c r="D40" s="10" t="s">
        <v>470</v>
      </c>
      <c r="E40" s="10" t="s">
        <v>462</v>
      </c>
      <c r="F40" s="11" t="s">
        <v>471</v>
      </c>
      <c r="H40" s="9" t="s">
        <v>472</v>
      </c>
      <c r="I40" s="10" t="s">
        <v>473</v>
      </c>
      <c r="J40" s="11" t="s">
        <v>474</v>
      </c>
    </row>
    <row r="41" spans="1:10">
      <c r="A41" s="9" t="s">
        <v>475</v>
      </c>
      <c r="B41" s="10" t="s">
        <v>476</v>
      </c>
      <c r="C41" s="10" t="s">
        <v>477</v>
      </c>
      <c r="D41" s="10" t="s">
        <v>478</v>
      </c>
      <c r="E41" s="10" t="s">
        <v>479</v>
      </c>
      <c r="F41" s="11" t="s">
        <v>480</v>
      </c>
      <c r="H41" s="12"/>
      <c r="I41" s="13"/>
      <c r="J41" s="14"/>
    </row>
    <row r="42" spans="1:10" ht="31.2">
      <c r="A42" s="9" t="s">
        <v>481</v>
      </c>
      <c r="B42" s="10" t="s">
        <v>482</v>
      </c>
      <c r="C42" s="10" t="s">
        <v>483</v>
      </c>
      <c r="D42" s="10" t="s">
        <v>484</v>
      </c>
      <c r="E42" s="10" t="s">
        <v>485</v>
      </c>
      <c r="F42" s="11" t="s">
        <v>486</v>
      </c>
    </row>
    <row r="43" spans="1:10" ht="31.2">
      <c r="A43" s="12" t="s">
        <v>487</v>
      </c>
      <c r="B43" s="13" t="s">
        <v>488</v>
      </c>
      <c r="C43" s="13" t="s">
        <v>489</v>
      </c>
      <c r="D43" s="13" t="s">
        <v>490</v>
      </c>
      <c r="E43" s="13" t="s">
        <v>491</v>
      </c>
      <c r="F43" s="14" t="s">
        <v>492</v>
      </c>
    </row>
    <row r="46" spans="1:10" ht="19.2" customHeight="1">
      <c r="A46" s="15" t="s">
        <v>493</v>
      </c>
      <c r="B46" s="15"/>
      <c r="C46" s="15"/>
      <c r="D46" s="15"/>
      <c r="E46" s="15"/>
      <c r="F46" s="15"/>
      <c r="G46" s="15"/>
      <c r="H46" s="15"/>
      <c r="I46" s="15"/>
      <c r="J46" s="15"/>
    </row>
    <row r="48" spans="1:10">
      <c r="A48" s="62" t="s">
        <v>494</v>
      </c>
      <c r="B48" s="62"/>
      <c r="C48" s="62"/>
      <c r="D48" s="62"/>
      <c r="E48" s="62"/>
      <c r="F48" s="62"/>
      <c r="G48" s="62"/>
      <c r="H48" s="62"/>
      <c r="I48" s="62"/>
      <c r="J48" s="62"/>
    </row>
    <row r="49" spans="1:10">
      <c r="A49" s="62"/>
      <c r="B49" s="62"/>
      <c r="C49" s="62"/>
      <c r="D49" s="62"/>
      <c r="E49" s="62"/>
      <c r="F49" s="62"/>
      <c r="G49" s="62"/>
      <c r="H49" s="62"/>
      <c r="I49" s="62"/>
      <c r="J49" s="62"/>
    </row>
    <row r="50" spans="1:10">
      <c r="A50" s="62"/>
      <c r="B50" s="62"/>
      <c r="C50" s="62"/>
      <c r="D50" s="62"/>
      <c r="E50" s="62"/>
      <c r="F50" s="62"/>
      <c r="G50" s="62"/>
      <c r="H50" s="62"/>
      <c r="I50" s="62"/>
      <c r="J50" s="62"/>
    </row>
    <row r="51" spans="1:10">
      <c r="A51" s="62"/>
      <c r="B51" s="62"/>
      <c r="C51" s="62"/>
      <c r="D51" s="62"/>
      <c r="E51" s="62"/>
      <c r="F51" s="62"/>
      <c r="G51" s="62"/>
      <c r="H51" s="62"/>
      <c r="I51" s="62"/>
      <c r="J51" s="62"/>
    </row>
    <row r="52" spans="1:10">
      <c r="A52" s="62"/>
      <c r="B52" s="62"/>
      <c r="C52" s="62"/>
      <c r="D52" s="62"/>
      <c r="E52" s="62"/>
      <c r="F52" s="62"/>
      <c r="G52" s="62"/>
      <c r="H52" s="62"/>
      <c r="I52" s="62"/>
      <c r="J52" s="62"/>
    </row>
    <row r="55" spans="1:10" ht="19.2" customHeight="1">
      <c r="A55" s="15" t="s">
        <v>495</v>
      </c>
      <c r="B55" s="15"/>
      <c r="C55" s="15"/>
      <c r="D55" s="15"/>
      <c r="E55" s="15"/>
      <c r="F55" s="15"/>
      <c r="G55" s="15"/>
      <c r="H55" s="15"/>
      <c r="I55" s="15"/>
      <c r="J55" s="15"/>
    </row>
    <row r="57" spans="1:10">
      <c r="A57" s="63" t="s">
        <v>496</v>
      </c>
      <c r="B57" s="63"/>
      <c r="C57" s="63"/>
      <c r="D57" s="63"/>
      <c r="E57" s="63"/>
      <c r="F57" s="63"/>
      <c r="G57" s="63"/>
      <c r="H57" s="63"/>
      <c r="I57" s="63"/>
      <c r="J57" s="63"/>
    </row>
    <row r="58" spans="1:10">
      <c r="A58" s="63"/>
      <c r="B58" s="63"/>
      <c r="C58" s="63"/>
      <c r="D58" s="63"/>
      <c r="E58" s="63"/>
      <c r="F58" s="63"/>
      <c r="G58" s="63"/>
      <c r="H58" s="63"/>
      <c r="I58" s="63"/>
      <c r="J58" s="63"/>
    </row>
    <row r="59" spans="1:10">
      <c r="A59" s="63"/>
      <c r="B59" s="63"/>
      <c r="C59" s="63"/>
      <c r="D59" s="63"/>
      <c r="E59" s="63"/>
      <c r="F59" s="63"/>
      <c r="G59" s="63"/>
      <c r="H59" s="63"/>
      <c r="I59" s="63"/>
      <c r="J59" s="63"/>
    </row>
    <row r="62" spans="1:10" ht="19.2" customHeight="1">
      <c r="A62" s="15" t="s">
        <v>497</v>
      </c>
      <c r="B62" s="15"/>
      <c r="C62" s="15"/>
      <c r="D62" s="15"/>
      <c r="E62" s="15"/>
      <c r="F62" s="15"/>
      <c r="G62" s="15"/>
      <c r="H62" s="15"/>
      <c r="I62" s="15"/>
      <c r="J62" s="15"/>
    </row>
    <row r="64" spans="1:10">
      <c r="A64" s="64" t="s">
        <v>498</v>
      </c>
      <c r="B64" s="65" t="s">
        <v>499</v>
      </c>
      <c r="C64" s="65" t="s">
        <v>500</v>
      </c>
      <c r="D64" s="65" t="s">
        <v>501</v>
      </c>
      <c r="E64" s="65" t="s">
        <v>502</v>
      </c>
      <c r="F64" s="65" t="s">
        <v>503</v>
      </c>
      <c r="G64" s="65" t="s">
        <v>504</v>
      </c>
      <c r="H64" s="65" t="s">
        <v>505</v>
      </c>
      <c r="I64" s="65" t="s">
        <v>506</v>
      </c>
      <c r="J64" s="66" t="s">
        <v>507</v>
      </c>
    </row>
    <row r="65" spans="1:10">
      <c r="A65" s="9"/>
      <c r="B65" s="10"/>
      <c r="C65" s="10"/>
      <c r="D65" s="10"/>
      <c r="E65" s="10"/>
      <c r="F65" s="10"/>
      <c r="G65" s="10"/>
      <c r="H65" s="10"/>
      <c r="I65" s="10"/>
      <c r="J65" s="11"/>
    </row>
    <row r="66" spans="1:10">
      <c r="A66" s="12"/>
      <c r="B66" s="13"/>
      <c r="C66" s="13"/>
      <c r="D66" s="13"/>
      <c r="E66" s="13"/>
      <c r="F66" s="13"/>
      <c r="G66" s="13"/>
      <c r="H66" s="13"/>
      <c r="I66" s="13"/>
      <c r="J66" s="14"/>
    </row>
  </sheetData>
  <mergeCells count="13">
    <mergeCell ref="A1:J1"/>
    <mergeCell ref="A6:J6"/>
    <mergeCell ref="A13:J13"/>
    <mergeCell ref="A23:J23"/>
    <mergeCell ref="A29:J29"/>
    <mergeCell ref="A8:H10"/>
    <mergeCell ref="A26:H26"/>
    <mergeCell ref="A12:J12"/>
    <mergeCell ref="A46:J46"/>
    <mergeCell ref="A48:J52"/>
    <mergeCell ref="A55:J55"/>
    <mergeCell ref="A57:J59"/>
    <mergeCell ref="A62:J6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3"/>
  <sheetViews>
    <sheetView workbookViewId="0">
      <selection activeCell="E13" sqref="E13"/>
    </sheetView>
  </sheetViews>
  <sheetFormatPr defaultRowHeight="15.6" customHeight="1"/>
  <cols>
    <col min="1" max="1" width="14" style="2" customWidth="1"/>
    <col min="2" max="2" width="33" style="2" customWidth="1"/>
    <col min="3" max="3" width="18" style="2" customWidth="1"/>
    <col min="4" max="4" width="18.5" style="2" customWidth="1"/>
    <col min="5" max="5" width="11" style="2" customWidth="1"/>
    <col min="6" max="6" width="13.5" style="2" customWidth="1"/>
    <col min="7" max="7" width="19" style="2" customWidth="1"/>
    <col min="8" max="8" width="16" style="2" customWidth="1"/>
    <col min="9" max="9" width="18" style="2" customWidth="1"/>
    <col min="10" max="11" width="11" style="2" customWidth="1"/>
    <col min="12" max="12" width="14" style="2" customWidth="1"/>
    <col min="13" max="13" width="18" style="2" customWidth="1"/>
    <col min="14" max="14" width="12" style="2" customWidth="1"/>
    <col min="15" max="16384" width="8.796875" style="2"/>
  </cols>
  <sheetData>
    <row r="1" spans="1:14" ht="24" customHeight="1">
      <c r="A1" s="32" t="s">
        <v>0</v>
      </c>
      <c r="B1" s="32"/>
      <c r="C1" s="32"/>
      <c r="D1" s="32"/>
      <c r="E1" s="32"/>
      <c r="F1" s="32"/>
      <c r="G1" s="32"/>
      <c r="H1" s="32"/>
      <c r="I1" s="32"/>
      <c r="J1" s="32"/>
      <c r="K1" s="32"/>
      <c r="L1" s="32"/>
      <c r="M1" s="32"/>
      <c r="N1" s="32"/>
    </row>
    <row r="3" spans="1:14" ht="15.6" customHeight="1">
      <c r="A3" s="29" t="s">
        <v>1</v>
      </c>
      <c r="B3" s="29" t="s">
        <v>2</v>
      </c>
      <c r="C3" s="29" t="s">
        <v>3</v>
      </c>
      <c r="D3" s="29" t="s">
        <v>4</v>
      </c>
      <c r="E3" s="29" t="s">
        <v>5</v>
      </c>
      <c r="F3" s="29" t="s">
        <v>6</v>
      </c>
      <c r="G3" s="29" t="s">
        <v>7</v>
      </c>
      <c r="H3" s="29" t="s">
        <v>8</v>
      </c>
      <c r="I3" s="29" t="s">
        <v>9</v>
      </c>
      <c r="J3" s="29" t="s">
        <v>10</v>
      </c>
      <c r="K3" s="29" t="s">
        <v>11</v>
      </c>
      <c r="L3" s="29" t="s">
        <v>12</v>
      </c>
      <c r="M3" s="29" t="s">
        <v>13</v>
      </c>
      <c r="N3" s="29" t="s">
        <v>14</v>
      </c>
    </row>
    <row r="4" spans="1:14" ht="15.6" customHeight="1">
      <c r="A4" s="34" t="s">
        <v>15</v>
      </c>
      <c r="B4" s="34" t="s">
        <v>16</v>
      </c>
      <c r="C4" s="34" t="s">
        <v>17</v>
      </c>
      <c r="D4" s="34" t="s">
        <v>18</v>
      </c>
      <c r="E4" s="34" t="s">
        <v>19</v>
      </c>
      <c r="F4" s="37">
        <v>640</v>
      </c>
      <c r="G4" s="34">
        <v>28</v>
      </c>
      <c r="H4" s="34">
        <v>10</v>
      </c>
      <c r="I4" s="34">
        <v>18</v>
      </c>
      <c r="J4" s="34" t="s">
        <v>20</v>
      </c>
      <c r="K4" s="34" t="s">
        <v>21</v>
      </c>
      <c r="L4" s="34" t="s">
        <v>22</v>
      </c>
      <c r="M4" s="34" t="s">
        <v>23</v>
      </c>
      <c r="N4" s="41" t="b">
        <v>1</v>
      </c>
    </row>
    <row r="5" spans="1:14" ht="15.6" customHeight="1">
      <c r="A5" s="34" t="s">
        <v>24</v>
      </c>
      <c r="B5" s="34" t="s">
        <v>25</v>
      </c>
      <c r="C5" s="34" t="s">
        <v>17</v>
      </c>
      <c r="D5" s="34" t="s">
        <v>26</v>
      </c>
      <c r="E5" s="34" t="s">
        <v>19</v>
      </c>
      <c r="F5" s="37">
        <v>82</v>
      </c>
      <c r="G5" s="34">
        <v>18</v>
      </c>
      <c r="H5" s="34">
        <v>20</v>
      </c>
      <c r="I5" s="34">
        <v>35</v>
      </c>
      <c r="J5" s="34" t="s">
        <v>20</v>
      </c>
      <c r="K5" s="34" t="s">
        <v>27</v>
      </c>
      <c r="L5" s="34" t="s">
        <v>22</v>
      </c>
      <c r="M5" s="34" t="s">
        <v>28</v>
      </c>
      <c r="N5" s="41" t="b">
        <v>1</v>
      </c>
    </row>
    <row r="6" spans="1:14" ht="15.6" customHeight="1">
      <c r="A6" s="34" t="s">
        <v>29</v>
      </c>
      <c r="B6" s="43" t="s">
        <v>30</v>
      </c>
      <c r="C6" s="34" t="s">
        <v>17</v>
      </c>
      <c r="D6" s="34" t="s">
        <v>31</v>
      </c>
      <c r="E6" s="34" t="s">
        <v>32</v>
      </c>
      <c r="F6" s="37">
        <v>46</v>
      </c>
      <c r="G6" s="34">
        <v>12</v>
      </c>
      <c r="H6" s="34">
        <v>25</v>
      </c>
      <c r="I6" s="34">
        <v>45</v>
      </c>
      <c r="J6" s="34" t="s">
        <v>33</v>
      </c>
      <c r="K6" s="34" t="s">
        <v>21</v>
      </c>
      <c r="L6" s="34" t="s">
        <v>34</v>
      </c>
      <c r="M6" s="34" t="s">
        <v>35</v>
      </c>
      <c r="N6" s="41" t="b">
        <v>1</v>
      </c>
    </row>
    <row r="7" spans="1:14" ht="15.6" customHeight="1">
      <c r="A7" s="34" t="s">
        <v>36</v>
      </c>
      <c r="B7" s="43" t="s">
        <v>37</v>
      </c>
      <c r="C7" s="34" t="s">
        <v>17</v>
      </c>
      <c r="D7" s="34" t="s">
        <v>38</v>
      </c>
      <c r="E7" s="34" t="s">
        <v>19</v>
      </c>
      <c r="F7" s="37">
        <v>420</v>
      </c>
      <c r="G7" s="34">
        <v>14</v>
      </c>
      <c r="H7" s="34">
        <v>8</v>
      </c>
      <c r="I7" s="34">
        <v>14</v>
      </c>
      <c r="J7" s="34" t="s">
        <v>20</v>
      </c>
      <c r="K7" s="34" t="s">
        <v>39</v>
      </c>
      <c r="L7" s="34" t="s">
        <v>22</v>
      </c>
      <c r="M7" s="34" t="s">
        <v>40</v>
      </c>
      <c r="N7" s="41" t="b">
        <v>1</v>
      </c>
    </row>
    <row r="8" spans="1:14" ht="15.6" customHeight="1">
      <c r="A8" s="34" t="s">
        <v>41</v>
      </c>
      <c r="B8" s="34" t="s">
        <v>42</v>
      </c>
      <c r="C8" s="34" t="s">
        <v>17</v>
      </c>
      <c r="D8" s="34" t="s">
        <v>43</v>
      </c>
      <c r="E8" s="34" t="s">
        <v>19</v>
      </c>
      <c r="F8" s="37">
        <v>175</v>
      </c>
      <c r="G8" s="34">
        <v>16</v>
      </c>
      <c r="H8" s="34">
        <v>12</v>
      </c>
      <c r="I8" s="34">
        <v>22</v>
      </c>
      <c r="J8" s="34" t="s">
        <v>20</v>
      </c>
      <c r="K8" s="34" t="s">
        <v>27</v>
      </c>
      <c r="L8" s="34" t="s">
        <v>22</v>
      </c>
      <c r="M8" s="43" t="s">
        <v>44</v>
      </c>
      <c r="N8" s="41" t="b">
        <v>1</v>
      </c>
    </row>
    <row r="9" spans="1:14" ht="15.6" customHeight="1">
      <c r="A9" s="34" t="s">
        <v>45</v>
      </c>
      <c r="B9" s="34" t="s">
        <v>46</v>
      </c>
      <c r="C9" s="34" t="s">
        <v>47</v>
      </c>
      <c r="D9" s="34" t="s">
        <v>48</v>
      </c>
      <c r="E9" s="34" t="s">
        <v>19</v>
      </c>
      <c r="F9" s="37">
        <v>220</v>
      </c>
      <c r="G9" s="34">
        <v>10</v>
      </c>
      <c r="H9" s="34">
        <v>12</v>
      </c>
      <c r="I9" s="34">
        <v>20</v>
      </c>
      <c r="J9" s="34" t="s">
        <v>20</v>
      </c>
      <c r="K9" s="34" t="s">
        <v>21</v>
      </c>
      <c r="L9" s="34" t="s">
        <v>34</v>
      </c>
      <c r="M9" s="34" t="s">
        <v>49</v>
      </c>
      <c r="N9" s="41" t="b">
        <v>1</v>
      </c>
    </row>
    <row r="10" spans="1:14" ht="15.6" customHeight="1">
      <c r="A10" s="34" t="s">
        <v>50</v>
      </c>
      <c r="B10" s="34" t="s">
        <v>51</v>
      </c>
      <c r="C10" s="34" t="s">
        <v>47</v>
      </c>
      <c r="D10" s="34" t="s">
        <v>52</v>
      </c>
      <c r="E10" s="34" t="s">
        <v>19</v>
      </c>
      <c r="F10" s="37">
        <v>135</v>
      </c>
      <c r="G10" s="34">
        <v>10</v>
      </c>
      <c r="H10" s="34">
        <v>15</v>
      </c>
      <c r="I10" s="34">
        <v>25</v>
      </c>
      <c r="J10" s="34" t="s">
        <v>33</v>
      </c>
      <c r="K10" s="34" t="s">
        <v>21</v>
      </c>
      <c r="L10" s="34" t="s">
        <v>34</v>
      </c>
      <c r="M10" s="34" t="s">
        <v>49</v>
      </c>
      <c r="N10" s="41" t="b">
        <v>1</v>
      </c>
    </row>
    <row r="11" spans="1:14" ht="15.6" customHeight="1">
      <c r="A11" s="34" t="s">
        <v>53</v>
      </c>
      <c r="B11" s="34" t="s">
        <v>54</v>
      </c>
      <c r="C11" s="34" t="s">
        <v>47</v>
      </c>
      <c r="D11" s="34" t="s">
        <v>55</v>
      </c>
      <c r="E11" s="34" t="s">
        <v>19</v>
      </c>
      <c r="F11" s="37">
        <v>160</v>
      </c>
      <c r="G11" s="34">
        <v>10</v>
      </c>
      <c r="H11" s="34">
        <v>10</v>
      </c>
      <c r="I11" s="34">
        <v>18</v>
      </c>
      <c r="J11" s="43" t="s">
        <v>33</v>
      </c>
      <c r="K11" s="34" t="s">
        <v>27</v>
      </c>
      <c r="L11" s="34" t="s">
        <v>34</v>
      </c>
      <c r="M11" s="34" t="s">
        <v>49</v>
      </c>
      <c r="N11" s="41" t="b">
        <v>1</v>
      </c>
    </row>
    <row r="12" spans="1:14" ht="15.6" customHeight="1">
      <c r="A12" s="34" t="s">
        <v>56</v>
      </c>
      <c r="B12" s="34" t="s">
        <v>57</v>
      </c>
      <c r="C12" s="34" t="s">
        <v>17</v>
      </c>
      <c r="D12" s="34" t="s">
        <v>58</v>
      </c>
      <c r="E12" s="34" t="s">
        <v>19</v>
      </c>
      <c r="F12" s="37">
        <v>95</v>
      </c>
      <c r="G12" s="34">
        <v>24</v>
      </c>
      <c r="H12" s="34">
        <v>8</v>
      </c>
      <c r="I12" s="34">
        <v>15</v>
      </c>
      <c r="J12" s="34" t="s">
        <v>33</v>
      </c>
      <c r="K12" s="34" t="s">
        <v>39</v>
      </c>
      <c r="L12" s="34" t="s">
        <v>22</v>
      </c>
      <c r="M12" s="34" t="s">
        <v>59</v>
      </c>
      <c r="N12" s="41" t="b">
        <v>1</v>
      </c>
    </row>
    <row r="13" spans="1:14" ht="15.6" customHeight="1">
      <c r="A13" s="34" t="s">
        <v>60</v>
      </c>
      <c r="B13" s="34" t="s">
        <v>61</v>
      </c>
      <c r="C13" s="34" t="s">
        <v>17</v>
      </c>
      <c r="D13" s="34" t="s">
        <v>62</v>
      </c>
      <c r="E13" s="34" t="s">
        <v>63</v>
      </c>
      <c r="F13" s="37">
        <v>18</v>
      </c>
      <c r="G13" s="34">
        <v>7</v>
      </c>
      <c r="H13" s="43">
        <v>40</v>
      </c>
      <c r="I13" s="34">
        <v>80</v>
      </c>
      <c r="J13" s="34" t="s">
        <v>64</v>
      </c>
      <c r="K13" s="34" t="s">
        <v>21</v>
      </c>
      <c r="L13" s="34" t="s">
        <v>65</v>
      </c>
      <c r="M13" s="34" t="s">
        <v>66</v>
      </c>
      <c r="N13" s="41" t="b">
        <v>1</v>
      </c>
    </row>
    <row r="14" spans="1:14" ht="15.6" customHeight="1">
      <c r="A14" s="34" t="s">
        <v>67</v>
      </c>
      <c r="B14" s="34" t="s">
        <v>68</v>
      </c>
      <c r="C14" s="34" t="s">
        <v>47</v>
      </c>
      <c r="D14" s="34" t="s">
        <v>69</v>
      </c>
      <c r="E14" s="34" t="s">
        <v>19</v>
      </c>
      <c r="F14" s="37">
        <v>145</v>
      </c>
      <c r="G14" s="34">
        <v>10</v>
      </c>
      <c r="H14" s="34">
        <v>12</v>
      </c>
      <c r="I14" s="43">
        <v>20</v>
      </c>
      <c r="J14" s="34" t="s">
        <v>33</v>
      </c>
      <c r="K14" s="34" t="s">
        <v>27</v>
      </c>
      <c r="L14" s="34" t="s">
        <v>34</v>
      </c>
      <c r="M14" s="34" t="s">
        <v>49</v>
      </c>
      <c r="N14" s="41" t="b">
        <v>1</v>
      </c>
    </row>
    <row r="15" spans="1:14" ht="15.6" customHeight="1">
      <c r="A15" s="34" t="s">
        <v>70</v>
      </c>
      <c r="B15" s="34" t="s">
        <v>71</v>
      </c>
      <c r="C15" s="34" t="s">
        <v>47</v>
      </c>
      <c r="D15" s="34" t="s">
        <v>72</v>
      </c>
      <c r="E15" s="34" t="s">
        <v>19</v>
      </c>
      <c r="F15" s="37">
        <v>310</v>
      </c>
      <c r="G15" s="34">
        <v>12</v>
      </c>
      <c r="H15" s="34">
        <v>8</v>
      </c>
      <c r="I15" s="34">
        <v>15</v>
      </c>
      <c r="J15" s="34" t="s">
        <v>20</v>
      </c>
      <c r="K15" s="34" t="s">
        <v>27</v>
      </c>
      <c r="L15" s="34" t="s">
        <v>34</v>
      </c>
      <c r="M15" s="34" t="s">
        <v>49</v>
      </c>
      <c r="N15" s="41" t="b">
        <v>1</v>
      </c>
    </row>
    <row r="16" spans="1:14" ht="15.6" customHeight="1">
      <c r="A16" s="34" t="s">
        <v>73</v>
      </c>
      <c r="B16" s="34" t="s">
        <v>74</v>
      </c>
      <c r="C16" s="34" t="s">
        <v>17</v>
      </c>
      <c r="D16" s="34" t="s">
        <v>75</v>
      </c>
      <c r="E16" s="34" t="s">
        <v>19</v>
      </c>
      <c r="F16" s="46">
        <v>28</v>
      </c>
      <c r="G16" s="34">
        <v>14</v>
      </c>
      <c r="H16" s="34">
        <v>30</v>
      </c>
      <c r="I16" s="34">
        <v>60</v>
      </c>
      <c r="J16" s="34" t="s">
        <v>64</v>
      </c>
      <c r="K16" s="43" t="s">
        <v>21</v>
      </c>
      <c r="L16" s="34" t="s">
        <v>65</v>
      </c>
      <c r="M16" s="34" t="s">
        <v>44</v>
      </c>
      <c r="N16" s="41" t="b">
        <v>1</v>
      </c>
    </row>
    <row r="17" spans="1:14" ht="15.6" customHeight="1">
      <c r="A17" s="34" t="s">
        <v>76</v>
      </c>
      <c r="B17" s="34" t="s">
        <v>77</v>
      </c>
      <c r="C17" s="34" t="s">
        <v>17</v>
      </c>
      <c r="D17" s="34" t="s">
        <v>78</v>
      </c>
      <c r="E17" s="34" t="s">
        <v>19</v>
      </c>
      <c r="F17" s="37">
        <v>290</v>
      </c>
      <c r="G17" s="34">
        <v>21</v>
      </c>
      <c r="H17" s="34">
        <v>6</v>
      </c>
      <c r="I17" s="34">
        <v>12</v>
      </c>
      <c r="J17" s="34" t="s">
        <v>20</v>
      </c>
      <c r="K17" s="34" t="s">
        <v>39</v>
      </c>
      <c r="L17" s="34" t="s">
        <v>22</v>
      </c>
      <c r="M17" s="34" t="s">
        <v>23</v>
      </c>
      <c r="N17" s="41" t="b">
        <v>1</v>
      </c>
    </row>
    <row r="18" spans="1:14" ht="15.6" customHeight="1">
      <c r="A18" s="34" t="s">
        <v>79</v>
      </c>
      <c r="B18" s="34" t="s">
        <v>80</v>
      </c>
      <c r="C18" s="34" t="s">
        <v>81</v>
      </c>
      <c r="D18" s="34" t="s">
        <v>82</v>
      </c>
      <c r="E18" s="34" t="s">
        <v>83</v>
      </c>
      <c r="F18" s="37">
        <v>4.5</v>
      </c>
      <c r="G18" s="34">
        <v>7</v>
      </c>
      <c r="H18" s="34">
        <v>100</v>
      </c>
      <c r="I18" s="34">
        <v>200</v>
      </c>
      <c r="J18" s="34" t="s">
        <v>64</v>
      </c>
      <c r="K18" s="34" t="s">
        <v>21</v>
      </c>
      <c r="L18" s="34" t="s">
        <v>65</v>
      </c>
      <c r="M18" s="43" t="s">
        <v>66</v>
      </c>
      <c r="N18" s="41" t="b">
        <v>1</v>
      </c>
    </row>
    <row r="19" spans="1:14" ht="15.6" customHeight="1">
      <c r="A19" s="34" t="s">
        <v>84</v>
      </c>
      <c r="B19" s="34" t="s">
        <v>85</v>
      </c>
      <c r="C19" s="34" t="s">
        <v>86</v>
      </c>
      <c r="D19" s="34" t="s">
        <v>87</v>
      </c>
      <c r="E19" s="34" t="s">
        <v>19</v>
      </c>
      <c r="F19" s="37">
        <v>2450</v>
      </c>
      <c r="G19" s="34">
        <v>7</v>
      </c>
      <c r="H19" s="34">
        <v>2</v>
      </c>
      <c r="I19" s="34">
        <v>4</v>
      </c>
      <c r="J19" s="34" t="s">
        <v>20</v>
      </c>
      <c r="K19" s="34" t="s">
        <v>21</v>
      </c>
      <c r="L19" s="34" t="s">
        <v>65</v>
      </c>
      <c r="M19" s="34"/>
      <c r="N19" s="41" t="b">
        <v>1</v>
      </c>
    </row>
    <row r="20" spans="1:14" ht="15.6" customHeight="1">
      <c r="A20" s="34" t="s">
        <v>88</v>
      </c>
      <c r="B20" s="34" t="s">
        <v>89</v>
      </c>
      <c r="C20" s="34" t="s">
        <v>86</v>
      </c>
      <c r="D20" s="34" t="s">
        <v>87</v>
      </c>
      <c r="E20" s="34" t="s">
        <v>19</v>
      </c>
      <c r="F20" s="37">
        <v>4950</v>
      </c>
      <c r="G20" s="34">
        <v>14</v>
      </c>
      <c r="H20" s="34">
        <v>1</v>
      </c>
      <c r="I20" s="34">
        <v>2</v>
      </c>
      <c r="J20" s="34" t="s">
        <v>20</v>
      </c>
      <c r="K20" s="34" t="s">
        <v>27</v>
      </c>
      <c r="L20" s="34" t="s">
        <v>65</v>
      </c>
      <c r="M20" s="34"/>
      <c r="N20" s="41" t="b">
        <v>1</v>
      </c>
    </row>
    <row r="21" spans="1:14" ht="15.6" customHeight="1">
      <c r="A21" s="34" t="s">
        <v>90</v>
      </c>
      <c r="B21" s="34" t="s">
        <v>91</v>
      </c>
      <c r="C21" s="34" t="s">
        <v>86</v>
      </c>
      <c r="D21" s="34" t="s">
        <v>92</v>
      </c>
      <c r="E21" s="34" t="s">
        <v>19</v>
      </c>
      <c r="F21" s="37">
        <v>7200</v>
      </c>
      <c r="G21" s="34">
        <v>18</v>
      </c>
      <c r="H21" s="34">
        <v>1</v>
      </c>
      <c r="I21" s="34">
        <v>2</v>
      </c>
      <c r="J21" s="34" t="s">
        <v>20</v>
      </c>
      <c r="K21" s="34" t="s">
        <v>27</v>
      </c>
      <c r="L21" s="34" t="s">
        <v>65</v>
      </c>
      <c r="M21" s="34"/>
      <c r="N21" s="41" t="b">
        <v>1</v>
      </c>
    </row>
    <row r="22" spans="1:14" ht="15.6" customHeight="1">
      <c r="A22" s="34" t="s">
        <v>93</v>
      </c>
      <c r="B22" s="34" t="s">
        <v>94</v>
      </c>
      <c r="C22" s="34" t="s">
        <v>86</v>
      </c>
      <c r="D22" s="34" t="s">
        <v>95</v>
      </c>
      <c r="E22" s="34" t="s">
        <v>19</v>
      </c>
      <c r="F22" s="37">
        <v>6100</v>
      </c>
      <c r="G22" s="34">
        <v>16</v>
      </c>
      <c r="H22" s="34">
        <v>1</v>
      </c>
      <c r="I22" s="34">
        <v>2</v>
      </c>
      <c r="J22" s="34" t="s">
        <v>20</v>
      </c>
      <c r="K22" s="34" t="s">
        <v>39</v>
      </c>
      <c r="L22" s="34" t="s">
        <v>65</v>
      </c>
      <c r="M22" s="34"/>
      <c r="N22" s="41" t="b">
        <v>1</v>
      </c>
    </row>
    <row r="23" spans="1:14" ht="15.6" customHeight="1">
      <c r="A23" s="34" t="s">
        <v>96</v>
      </c>
      <c r="B23" s="34" t="s">
        <v>97</v>
      </c>
      <c r="C23" s="34" t="s">
        <v>86</v>
      </c>
      <c r="D23" s="34" t="s">
        <v>98</v>
      </c>
      <c r="E23" s="34" t="s">
        <v>19</v>
      </c>
      <c r="F23" s="37">
        <v>3100</v>
      </c>
      <c r="G23" s="34">
        <v>10</v>
      </c>
      <c r="H23" s="34">
        <v>2</v>
      </c>
      <c r="I23" s="34">
        <v>3</v>
      </c>
      <c r="J23" s="34" t="s">
        <v>33</v>
      </c>
      <c r="K23" s="34" t="s">
        <v>27</v>
      </c>
      <c r="L23" s="34" t="s">
        <v>65</v>
      </c>
      <c r="M23" s="34"/>
      <c r="N23" s="41" t="b">
        <v>1</v>
      </c>
    </row>
  </sheetData>
  <mergeCells count="1">
    <mergeCell ref="A1:N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1"/>
  <sheetViews>
    <sheetView workbookViewId="0">
      <selection activeCell="F16" sqref="F16"/>
    </sheetView>
  </sheetViews>
  <sheetFormatPr defaultRowHeight="15.6"/>
  <cols>
    <col min="1" max="1" width="13" style="2" customWidth="1"/>
    <col min="2" max="2" width="29" style="2" customWidth="1"/>
    <col min="3" max="3" width="18" style="2" customWidth="1"/>
    <col min="4" max="4" width="9.5" style="2" customWidth="1"/>
    <col min="5" max="5" width="18" style="2" customWidth="1"/>
    <col min="6" max="6" width="13" style="2" customWidth="1"/>
    <col min="7" max="7" width="16" style="2" customWidth="1"/>
    <col min="8" max="8" width="14" style="2" customWidth="1"/>
    <col min="9" max="9" width="20" style="2" customWidth="1"/>
    <col min="10" max="10" width="18" style="2" customWidth="1"/>
    <col min="11" max="16384" width="8.796875" style="2"/>
  </cols>
  <sheetData>
    <row r="1" spans="1:10" ht="21.6">
      <c r="A1" s="32" t="s">
        <v>99</v>
      </c>
      <c r="B1" s="32"/>
      <c r="C1" s="32"/>
      <c r="D1" s="32"/>
      <c r="E1" s="32"/>
      <c r="F1" s="32"/>
      <c r="G1" s="32"/>
      <c r="H1" s="32"/>
      <c r="I1" s="32"/>
      <c r="J1" s="32"/>
    </row>
    <row r="3" spans="1:10" ht="31.2">
      <c r="A3" s="29" t="s">
        <v>100</v>
      </c>
      <c r="B3" s="29" t="s">
        <v>101</v>
      </c>
      <c r="C3" s="29" t="s">
        <v>102</v>
      </c>
      <c r="D3" s="29" t="s">
        <v>103</v>
      </c>
      <c r="E3" s="29" t="s">
        <v>104</v>
      </c>
      <c r="F3" s="29" t="s">
        <v>105</v>
      </c>
      <c r="G3" s="29" t="s">
        <v>106</v>
      </c>
      <c r="H3" s="29" t="s">
        <v>14</v>
      </c>
      <c r="I3" s="29" t="s">
        <v>107</v>
      </c>
      <c r="J3" s="29" t="s">
        <v>108</v>
      </c>
    </row>
    <row r="4" spans="1:10" ht="15.6" customHeight="1">
      <c r="A4" s="34" t="s">
        <v>23</v>
      </c>
      <c r="B4" s="34" t="s">
        <v>109</v>
      </c>
      <c r="C4" s="34" t="s">
        <v>110</v>
      </c>
      <c r="D4" s="34" t="s">
        <v>111</v>
      </c>
      <c r="E4" s="34">
        <v>30</v>
      </c>
      <c r="F4" s="34" t="s">
        <v>112</v>
      </c>
      <c r="G4" s="41" t="b">
        <v>1</v>
      </c>
      <c r="H4" s="41" t="b">
        <v>1</v>
      </c>
      <c r="I4" s="34">
        <v>28</v>
      </c>
      <c r="J4" s="45">
        <v>0.95</v>
      </c>
    </row>
    <row r="5" spans="1:10" ht="15.6" customHeight="1">
      <c r="A5" s="34" t="s">
        <v>28</v>
      </c>
      <c r="B5" s="34" t="s">
        <v>113</v>
      </c>
      <c r="C5" s="34" t="s">
        <v>114</v>
      </c>
      <c r="D5" s="34" t="s">
        <v>115</v>
      </c>
      <c r="E5" s="34">
        <v>21</v>
      </c>
      <c r="F5" s="43" t="s">
        <v>112</v>
      </c>
      <c r="G5" s="41" t="b">
        <v>1</v>
      </c>
      <c r="H5" s="41" t="b">
        <v>1</v>
      </c>
      <c r="I5" s="34">
        <v>18</v>
      </c>
      <c r="J5" s="45">
        <v>0.94</v>
      </c>
    </row>
    <row r="6" spans="1:10" ht="15.6" customHeight="1">
      <c r="A6" s="34" t="s">
        <v>35</v>
      </c>
      <c r="B6" s="34" t="s">
        <v>116</v>
      </c>
      <c r="C6" s="34" t="s">
        <v>117</v>
      </c>
      <c r="D6" s="34" t="s">
        <v>118</v>
      </c>
      <c r="E6" s="34">
        <v>30</v>
      </c>
      <c r="F6" s="34" t="s">
        <v>119</v>
      </c>
      <c r="G6" s="41" t="b">
        <v>1</v>
      </c>
      <c r="H6" s="41" t="b">
        <v>1</v>
      </c>
      <c r="I6" s="34">
        <v>12</v>
      </c>
      <c r="J6" s="45">
        <v>0.96</v>
      </c>
    </row>
    <row r="7" spans="1:10" ht="15.6" customHeight="1">
      <c r="A7" s="34" t="s">
        <v>40</v>
      </c>
      <c r="B7" s="34" t="s">
        <v>120</v>
      </c>
      <c r="C7" s="34" t="s">
        <v>121</v>
      </c>
      <c r="D7" s="34" t="s">
        <v>38</v>
      </c>
      <c r="E7" s="34">
        <v>30</v>
      </c>
      <c r="F7" s="34" t="s">
        <v>122</v>
      </c>
      <c r="G7" s="41" t="b">
        <v>1</v>
      </c>
      <c r="H7" s="42" t="b">
        <v>1</v>
      </c>
      <c r="I7" s="34">
        <v>30</v>
      </c>
      <c r="J7" s="45">
        <v>0.9</v>
      </c>
    </row>
    <row r="8" spans="1:10" ht="15.6" customHeight="1">
      <c r="A8" s="34" t="s">
        <v>44</v>
      </c>
      <c r="B8" s="43" t="s">
        <v>123</v>
      </c>
      <c r="C8" s="34" t="s">
        <v>124</v>
      </c>
      <c r="D8" s="34" t="s">
        <v>125</v>
      </c>
      <c r="E8" s="34">
        <v>21</v>
      </c>
      <c r="F8" s="34" t="s">
        <v>112</v>
      </c>
      <c r="G8" s="41" t="b">
        <v>1</v>
      </c>
      <c r="H8" s="41" t="b">
        <v>1</v>
      </c>
      <c r="I8" s="34">
        <v>16</v>
      </c>
      <c r="J8" s="45">
        <v>0.93</v>
      </c>
    </row>
    <row r="9" spans="1:10" ht="15.6" customHeight="1">
      <c r="A9" s="34" t="s">
        <v>49</v>
      </c>
      <c r="B9" s="34" t="s">
        <v>126</v>
      </c>
      <c r="C9" s="34" t="s">
        <v>114</v>
      </c>
      <c r="D9" s="34" t="s">
        <v>127</v>
      </c>
      <c r="E9" s="34">
        <v>14</v>
      </c>
      <c r="F9" s="34" t="s">
        <v>119</v>
      </c>
      <c r="G9" s="41" t="b">
        <v>1</v>
      </c>
      <c r="H9" s="41" t="b">
        <v>1</v>
      </c>
      <c r="I9" s="34">
        <v>10</v>
      </c>
      <c r="J9" s="45">
        <v>0.97</v>
      </c>
    </row>
    <row r="10" spans="1:10" ht="15.6" customHeight="1">
      <c r="A10" s="34" t="s">
        <v>59</v>
      </c>
      <c r="B10" s="34" t="s">
        <v>128</v>
      </c>
      <c r="C10" s="34" t="s">
        <v>129</v>
      </c>
      <c r="D10" s="34" t="s">
        <v>130</v>
      </c>
      <c r="E10" s="34">
        <v>30</v>
      </c>
      <c r="F10" s="34" t="s">
        <v>112</v>
      </c>
      <c r="G10" s="41" t="b">
        <v>0</v>
      </c>
      <c r="H10" s="41" t="b">
        <v>1</v>
      </c>
      <c r="I10" s="34">
        <v>24</v>
      </c>
      <c r="J10" s="47">
        <v>0.92</v>
      </c>
    </row>
    <row r="11" spans="1:10" ht="15.6" customHeight="1">
      <c r="A11" s="34" t="s">
        <v>66</v>
      </c>
      <c r="B11" s="34" t="s">
        <v>131</v>
      </c>
      <c r="C11" s="34" t="s">
        <v>114</v>
      </c>
      <c r="D11" s="34" t="s">
        <v>132</v>
      </c>
      <c r="E11" s="34">
        <v>14</v>
      </c>
      <c r="F11" s="34" t="s">
        <v>119</v>
      </c>
      <c r="G11" s="41" t="b">
        <v>1</v>
      </c>
      <c r="H11" s="41" t="b">
        <v>1</v>
      </c>
      <c r="I11" s="34">
        <v>7</v>
      </c>
      <c r="J11" s="45">
        <v>0.98</v>
      </c>
    </row>
  </sheetData>
  <mergeCells count="1">
    <mergeCell ref="A1:J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workbookViewId="0">
      <selection activeCell="B9" sqref="B9"/>
    </sheetView>
  </sheetViews>
  <sheetFormatPr defaultRowHeight="15.6"/>
  <cols>
    <col min="1" max="1" width="13" style="2" customWidth="1"/>
    <col min="2" max="2" width="34" style="2" customWidth="1"/>
    <col min="3" max="3" width="18" style="2" customWidth="1"/>
    <col min="4" max="4" width="12.69921875" style="2" customWidth="1"/>
    <col min="5" max="5" width="16" style="2" customWidth="1"/>
    <col min="6" max="6" width="14" style="2" customWidth="1"/>
    <col min="7" max="16384" width="8.796875" style="2"/>
  </cols>
  <sheetData>
    <row r="1" spans="1:6" ht="21.6">
      <c r="A1" s="32" t="s">
        <v>133</v>
      </c>
      <c r="B1" s="32"/>
      <c r="C1" s="32"/>
      <c r="D1" s="32"/>
      <c r="E1" s="32"/>
      <c r="F1" s="32"/>
    </row>
    <row r="3" spans="1:6" ht="31.2">
      <c r="A3" s="29" t="s">
        <v>134</v>
      </c>
      <c r="B3" s="29" t="s">
        <v>135</v>
      </c>
      <c r="C3" s="29" t="s">
        <v>136</v>
      </c>
      <c r="D3" s="29" t="s">
        <v>137</v>
      </c>
      <c r="E3" s="29" t="s">
        <v>138</v>
      </c>
      <c r="F3" s="29" t="s">
        <v>14</v>
      </c>
    </row>
    <row r="4" spans="1:6" ht="15.6" customHeight="1">
      <c r="A4" s="34" t="s">
        <v>139</v>
      </c>
      <c r="B4" s="34" t="s">
        <v>140</v>
      </c>
      <c r="C4" s="34" t="s">
        <v>141</v>
      </c>
      <c r="D4" s="34" t="s">
        <v>142</v>
      </c>
      <c r="E4" s="34" t="s">
        <v>114</v>
      </c>
      <c r="F4" s="41" t="b">
        <v>1</v>
      </c>
    </row>
    <row r="5" spans="1:6" ht="15.6" customHeight="1">
      <c r="A5" s="34" t="s">
        <v>143</v>
      </c>
      <c r="B5" s="34" t="s">
        <v>144</v>
      </c>
      <c r="C5" s="34" t="s">
        <v>145</v>
      </c>
      <c r="D5" s="34" t="s">
        <v>142</v>
      </c>
      <c r="E5" s="34" t="s">
        <v>114</v>
      </c>
      <c r="F5" s="41" t="b">
        <v>1</v>
      </c>
    </row>
    <row r="6" spans="1:6" ht="15.6" customHeight="1">
      <c r="A6" s="34" t="s">
        <v>146</v>
      </c>
      <c r="B6" s="34" t="s">
        <v>147</v>
      </c>
      <c r="C6" s="34" t="s">
        <v>148</v>
      </c>
      <c r="D6" s="34" t="s">
        <v>149</v>
      </c>
      <c r="E6" s="34" t="s">
        <v>114</v>
      </c>
      <c r="F6" s="41" t="b">
        <v>1</v>
      </c>
    </row>
  </sheetData>
  <mergeCells count="1">
    <mergeCell ref="A1:F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36"/>
  <sheetViews>
    <sheetView workbookViewId="0">
      <selection activeCell="G12" sqref="G12"/>
    </sheetView>
  </sheetViews>
  <sheetFormatPr defaultRowHeight="15.6"/>
  <cols>
    <col min="1" max="1" width="13" style="2" customWidth="1"/>
    <col min="2" max="2" width="19" style="2" customWidth="1"/>
    <col min="3" max="3" width="10.5" style="2" customWidth="1"/>
    <col min="4" max="4" width="9.5" style="2" customWidth="1"/>
    <col min="5" max="5" width="12.3984375" style="2" customWidth="1"/>
    <col min="6" max="6" width="9.69921875" style="2" customWidth="1"/>
    <col min="7" max="7" width="11.796875" style="2" customWidth="1"/>
    <col min="8" max="9" width="15" style="2" customWidth="1"/>
    <col min="10" max="10" width="14" style="2" customWidth="1"/>
    <col min="11" max="16384" width="8.796875" style="2"/>
  </cols>
  <sheetData>
    <row r="1" spans="1:10" ht="26.4" customHeight="1">
      <c r="A1" s="32" t="s">
        <v>150</v>
      </c>
      <c r="B1" s="32"/>
      <c r="C1" s="32"/>
      <c r="D1" s="32"/>
      <c r="E1" s="32"/>
      <c r="F1" s="32"/>
      <c r="G1" s="32"/>
      <c r="H1" s="32"/>
      <c r="I1" s="32"/>
      <c r="J1" s="32"/>
    </row>
    <row r="3" spans="1:10" ht="31.2">
      <c r="A3" s="29" t="s">
        <v>151</v>
      </c>
      <c r="B3" s="29" t="s">
        <v>152</v>
      </c>
      <c r="C3" s="29" t="s">
        <v>153</v>
      </c>
      <c r="D3" s="29" t="s">
        <v>154</v>
      </c>
      <c r="E3" s="29" t="s">
        <v>155</v>
      </c>
      <c r="F3" s="29" t="s">
        <v>156</v>
      </c>
      <c r="G3" s="29" t="s">
        <v>157</v>
      </c>
      <c r="H3" s="29" t="s">
        <v>158</v>
      </c>
      <c r="I3" s="29" t="s">
        <v>159</v>
      </c>
      <c r="J3" s="29" t="s">
        <v>14</v>
      </c>
    </row>
    <row r="4" spans="1:10">
      <c r="A4" s="34" t="s">
        <v>160</v>
      </c>
      <c r="B4" s="34" t="s">
        <v>84</v>
      </c>
      <c r="C4" s="34" t="s">
        <v>161</v>
      </c>
      <c r="D4" s="34">
        <v>10</v>
      </c>
      <c r="E4" s="34" t="s">
        <v>15</v>
      </c>
      <c r="F4" s="34">
        <v>1</v>
      </c>
      <c r="G4" s="45">
        <v>0</v>
      </c>
      <c r="H4" s="35">
        <v>46023</v>
      </c>
      <c r="I4" s="35"/>
      <c r="J4" s="41" t="b">
        <v>1</v>
      </c>
    </row>
    <row r="5" spans="1:10">
      <c r="A5" s="34" t="s">
        <v>160</v>
      </c>
      <c r="B5" s="34" t="s">
        <v>84</v>
      </c>
      <c r="C5" s="34" t="s">
        <v>161</v>
      </c>
      <c r="D5" s="34">
        <v>11</v>
      </c>
      <c r="E5" s="34" t="s">
        <v>24</v>
      </c>
      <c r="F5" s="34">
        <v>1</v>
      </c>
      <c r="G5" s="45">
        <v>0</v>
      </c>
      <c r="H5" s="35">
        <v>46023</v>
      </c>
      <c r="I5" s="35"/>
      <c r="J5" s="41" t="b">
        <v>1</v>
      </c>
    </row>
    <row r="6" spans="1:10">
      <c r="A6" s="34" t="s">
        <v>160</v>
      </c>
      <c r="B6" s="43" t="s">
        <v>84</v>
      </c>
      <c r="C6" s="34" t="s">
        <v>161</v>
      </c>
      <c r="D6" s="34">
        <v>12</v>
      </c>
      <c r="E6" s="34" t="s">
        <v>29</v>
      </c>
      <c r="F6" s="34">
        <v>1</v>
      </c>
      <c r="G6" s="45">
        <v>0</v>
      </c>
      <c r="H6" s="35">
        <v>46023</v>
      </c>
      <c r="I6" s="35"/>
      <c r="J6" s="41" t="b">
        <v>1</v>
      </c>
    </row>
    <row r="7" spans="1:10">
      <c r="A7" s="34" t="s">
        <v>160</v>
      </c>
      <c r="B7" s="34" t="s">
        <v>84</v>
      </c>
      <c r="C7" s="34" t="s">
        <v>161</v>
      </c>
      <c r="D7" s="34">
        <v>13</v>
      </c>
      <c r="E7" s="34" t="s">
        <v>45</v>
      </c>
      <c r="F7" s="34">
        <v>1</v>
      </c>
      <c r="G7" s="45">
        <v>0</v>
      </c>
      <c r="H7" s="35">
        <v>46023</v>
      </c>
      <c r="I7" s="35"/>
      <c r="J7" s="41" t="b">
        <v>1</v>
      </c>
    </row>
    <row r="8" spans="1:10">
      <c r="A8" s="34" t="s">
        <v>160</v>
      </c>
      <c r="B8" s="34" t="s">
        <v>84</v>
      </c>
      <c r="C8" s="34" t="s">
        <v>161</v>
      </c>
      <c r="D8" s="34">
        <v>14</v>
      </c>
      <c r="E8" s="34" t="s">
        <v>50</v>
      </c>
      <c r="F8" s="34">
        <v>1</v>
      </c>
      <c r="G8" s="45">
        <v>0</v>
      </c>
      <c r="H8" s="35">
        <v>46023</v>
      </c>
      <c r="I8" s="35"/>
      <c r="J8" s="41" t="b">
        <v>1</v>
      </c>
    </row>
    <row r="9" spans="1:10">
      <c r="A9" s="34" t="s">
        <v>160</v>
      </c>
      <c r="B9" s="34" t="s">
        <v>84</v>
      </c>
      <c r="C9" s="34" t="s">
        <v>161</v>
      </c>
      <c r="D9" s="34">
        <v>15</v>
      </c>
      <c r="E9" s="34" t="s">
        <v>53</v>
      </c>
      <c r="F9" s="34">
        <v>1</v>
      </c>
      <c r="G9" s="45">
        <v>0</v>
      </c>
      <c r="H9" s="35">
        <v>46023</v>
      </c>
      <c r="I9" s="35"/>
      <c r="J9" s="41" t="b">
        <v>1</v>
      </c>
    </row>
    <row r="10" spans="1:10">
      <c r="A10" s="34" t="s">
        <v>160</v>
      </c>
      <c r="B10" s="34" t="s">
        <v>84</v>
      </c>
      <c r="C10" s="34" t="s">
        <v>161</v>
      </c>
      <c r="D10" s="34">
        <v>16</v>
      </c>
      <c r="E10" s="34" t="s">
        <v>36</v>
      </c>
      <c r="F10" s="34">
        <v>1</v>
      </c>
      <c r="G10" s="45">
        <v>0</v>
      </c>
      <c r="H10" s="35">
        <v>46023</v>
      </c>
      <c r="I10" s="35"/>
      <c r="J10" s="41" t="b">
        <v>1</v>
      </c>
    </row>
    <row r="11" spans="1:10">
      <c r="A11" s="34" t="s">
        <v>160</v>
      </c>
      <c r="B11" s="34" t="s">
        <v>84</v>
      </c>
      <c r="C11" s="34" t="s">
        <v>161</v>
      </c>
      <c r="D11" s="34">
        <v>17</v>
      </c>
      <c r="E11" s="34" t="s">
        <v>60</v>
      </c>
      <c r="F11" s="34">
        <v>1</v>
      </c>
      <c r="G11" s="45">
        <v>0.02</v>
      </c>
      <c r="H11" s="35">
        <v>46023</v>
      </c>
      <c r="I11" s="35"/>
      <c r="J11" s="41" t="b">
        <v>1</v>
      </c>
    </row>
    <row r="12" spans="1:10">
      <c r="A12" s="34" t="s">
        <v>162</v>
      </c>
      <c r="B12" s="34" t="s">
        <v>88</v>
      </c>
      <c r="C12" s="34" t="s">
        <v>161</v>
      </c>
      <c r="D12" s="34">
        <v>10</v>
      </c>
      <c r="E12" s="43" t="s">
        <v>15</v>
      </c>
      <c r="F12" s="34">
        <v>1</v>
      </c>
      <c r="G12" s="45">
        <v>0</v>
      </c>
      <c r="H12" s="35">
        <v>46023</v>
      </c>
      <c r="I12" s="35"/>
      <c r="J12" s="41" t="b">
        <v>1</v>
      </c>
    </row>
    <row r="13" spans="1:10">
      <c r="A13" s="34" t="s">
        <v>162</v>
      </c>
      <c r="B13" s="34" t="s">
        <v>88</v>
      </c>
      <c r="C13" s="34" t="s">
        <v>161</v>
      </c>
      <c r="D13" s="34">
        <v>11</v>
      </c>
      <c r="E13" s="34" t="s">
        <v>24</v>
      </c>
      <c r="F13" s="34">
        <v>2</v>
      </c>
      <c r="G13" s="45">
        <v>0</v>
      </c>
      <c r="H13" s="35">
        <v>46023</v>
      </c>
      <c r="I13" s="35"/>
      <c r="J13" s="41" t="b">
        <v>1</v>
      </c>
    </row>
    <row r="14" spans="1:10">
      <c r="A14" s="34" t="s">
        <v>162</v>
      </c>
      <c r="B14" s="34" t="s">
        <v>88</v>
      </c>
      <c r="C14" s="34" t="s">
        <v>161</v>
      </c>
      <c r="D14" s="34">
        <v>12</v>
      </c>
      <c r="E14" s="34" t="s">
        <v>29</v>
      </c>
      <c r="F14" s="34">
        <v>2</v>
      </c>
      <c r="G14" s="45">
        <v>0</v>
      </c>
      <c r="H14" s="35">
        <v>46023</v>
      </c>
      <c r="I14" s="35"/>
      <c r="J14" s="41" t="b">
        <v>1</v>
      </c>
    </row>
    <row r="15" spans="1:10">
      <c r="A15" s="34" t="s">
        <v>162</v>
      </c>
      <c r="B15" s="34" t="s">
        <v>88</v>
      </c>
      <c r="C15" s="34" t="s">
        <v>161</v>
      </c>
      <c r="D15" s="34">
        <v>13</v>
      </c>
      <c r="E15" s="34" t="s">
        <v>41</v>
      </c>
      <c r="F15" s="34">
        <v>2</v>
      </c>
      <c r="G15" s="45">
        <v>0</v>
      </c>
      <c r="H15" s="35">
        <v>46023</v>
      </c>
      <c r="I15" s="35"/>
      <c r="J15" s="41" t="b">
        <v>1</v>
      </c>
    </row>
    <row r="16" spans="1:10">
      <c r="A16" s="34" t="s">
        <v>162</v>
      </c>
      <c r="B16" s="34" t="s">
        <v>88</v>
      </c>
      <c r="C16" s="34" t="s">
        <v>161</v>
      </c>
      <c r="D16" s="34">
        <v>14</v>
      </c>
      <c r="E16" s="34" t="s">
        <v>53</v>
      </c>
      <c r="F16" s="43">
        <v>1</v>
      </c>
      <c r="G16" s="45">
        <v>0</v>
      </c>
      <c r="H16" s="35">
        <v>46023</v>
      </c>
      <c r="I16" s="35"/>
      <c r="J16" s="41" t="b">
        <v>1</v>
      </c>
    </row>
    <row r="17" spans="1:10">
      <c r="A17" s="34" t="s">
        <v>162</v>
      </c>
      <c r="B17" s="34" t="s">
        <v>88</v>
      </c>
      <c r="C17" s="34" t="s">
        <v>161</v>
      </c>
      <c r="D17" s="34">
        <v>15</v>
      </c>
      <c r="E17" s="34" t="s">
        <v>56</v>
      </c>
      <c r="F17" s="34">
        <v>1</v>
      </c>
      <c r="G17" s="45">
        <v>0</v>
      </c>
      <c r="H17" s="35">
        <v>46023</v>
      </c>
      <c r="I17" s="35"/>
      <c r="J17" s="41" t="b">
        <v>1</v>
      </c>
    </row>
    <row r="18" spans="1:10">
      <c r="A18" s="34" t="s">
        <v>162</v>
      </c>
      <c r="B18" s="34" t="s">
        <v>88</v>
      </c>
      <c r="C18" s="34" t="s">
        <v>161</v>
      </c>
      <c r="D18" s="34">
        <v>16</v>
      </c>
      <c r="E18" s="34" t="s">
        <v>36</v>
      </c>
      <c r="F18" s="34">
        <v>1</v>
      </c>
      <c r="G18" s="45">
        <v>0</v>
      </c>
      <c r="H18" s="35">
        <v>46023</v>
      </c>
      <c r="I18" s="35"/>
      <c r="J18" s="41" t="b">
        <v>1</v>
      </c>
    </row>
    <row r="19" spans="1:10">
      <c r="A19" s="34" t="s">
        <v>162</v>
      </c>
      <c r="B19" s="34" t="s">
        <v>88</v>
      </c>
      <c r="C19" s="34" t="s">
        <v>161</v>
      </c>
      <c r="D19" s="34">
        <v>17</v>
      </c>
      <c r="E19" s="34" t="s">
        <v>60</v>
      </c>
      <c r="F19" s="34">
        <v>2</v>
      </c>
      <c r="G19" s="45">
        <v>0.02</v>
      </c>
      <c r="H19" s="35">
        <v>46023</v>
      </c>
      <c r="I19" s="35"/>
      <c r="J19" s="41" t="b">
        <v>1</v>
      </c>
    </row>
    <row r="20" spans="1:10">
      <c r="A20" s="34" t="s">
        <v>163</v>
      </c>
      <c r="B20" s="34" t="s">
        <v>90</v>
      </c>
      <c r="C20" s="34" t="s">
        <v>161</v>
      </c>
      <c r="D20" s="34">
        <v>10</v>
      </c>
      <c r="E20" s="34" t="s">
        <v>70</v>
      </c>
      <c r="F20" s="34">
        <v>1</v>
      </c>
      <c r="G20" s="45">
        <v>0</v>
      </c>
      <c r="H20" s="35">
        <v>46023</v>
      </c>
      <c r="I20" s="35"/>
      <c r="J20" s="41" t="b">
        <v>1</v>
      </c>
    </row>
    <row r="21" spans="1:10">
      <c r="A21" s="34" t="s">
        <v>163</v>
      </c>
      <c r="B21" s="34" t="s">
        <v>90</v>
      </c>
      <c r="C21" s="34" t="s">
        <v>161</v>
      </c>
      <c r="D21" s="34">
        <v>11</v>
      </c>
      <c r="E21" s="34" t="s">
        <v>73</v>
      </c>
      <c r="F21" s="34">
        <v>4</v>
      </c>
      <c r="G21" s="45">
        <v>0</v>
      </c>
      <c r="H21" s="35">
        <v>46023</v>
      </c>
      <c r="I21" s="35"/>
      <c r="J21" s="41" t="b">
        <v>1</v>
      </c>
    </row>
    <row r="22" spans="1:10">
      <c r="A22" s="34" t="s">
        <v>163</v>
      </c>
      <c r="B22" s="34" t="s">
        <v>90</v>
      </c>
      <c r="C22" s="34" t="s">
        <v>161</v>
      </c>
      <c r="D22" s="34">
        <v>12</v>
      </c>
      <c r="E22" s="34" t="s">
        <v>41</v>
      </c>
      <c r="F22" s="34">
        <v>4</v>
      </c>
      <c r="G22" s="45">
        <v>0</v>
      </c>
      <c r="H22" s="35">
        <v>46023</v>
      </c>
      <c r="I22" s="35"/>
      <c r="J22" s="41" t="b">
        <v>1</v>
      </c>
    </row>
    <row r="23" spans="1:10">
      <c r="A23" s="34" t="s">
        <v>163</v>
      </c>
      <c r="B23" s="34" t="s">
        <v>90</v>
      </c>
      <c r="C23" s="34" t="s">
        <v>161</v>
      </c>
      <c r="D23" s="34">
        <v>13</v>
      </c>
      <c r="E23" s="34" t="s">
        <v>67</v>
      </c>
      <c r="F23" s="34">
        <v>2</v>
      </c>
      <c r="G23" s="45">
        <v>0</v>
      </c>
      <c r="H23" s="44">
        <v>46023</v>
      </c>
      <c r="I23" s="35"/>
      <c r="J23" s="41" t="b">
        <v>1</v>
      </c>
    </row>
    <row r="24" spans="1:10">
      <c r="A24" s="34" t="s">
        <v>163</v>
      </c>
      <c r="B24" s="34" t="s">
        <v>90</v>
      </c>
      <c r="C24" s="34" t="s">
        <v>161</v>
      </c>
      <c r="D24" s="34">
        <v>14</v>
      </c>
      <c r="E24" s="34" t="s">
        <v>56</v>
      </c>
      <c r="F24" s="34">
        <v>2</v>
      </c>
      <c r="G24" s="45">
        <v>0</v>
      </c>
      <c r="H24" s="35">
        <v>46023</v>
      </c>
      <c r="I24" s="35"/>
      <c r="J24" s="41" t="b">
        <v>1</v>
      </c>
    </row>
    <row r="25" spans="1:10">
      <c r="A25" s="34" t="s">
        <v>163</v>
      </c>
      <c r="B25" s="34" t="s">
        <v>90</v>
      </c>
      <c r="C25" s="34" t="s">
        <v>161</v>
      </c>
      <c r="D25" s="34">
        <v>15</v>
      </c>
      <c r="E25" s="34" t="s">
        <v>36</v>
      </c>
      <c r="F25" s="34">
        <v>1</v>
      </c>
      <c r="G25" s="45">
        <v>0</v>
      </c>
      <c r="H25" s="35">
        <v>46023</v>
      </c>
      <c r="I25" s="35"/>
      <c r="J25" s="41" t="b">
        <v>1</v>
      </c>
    </row>
    <row r="26" spans="1:10">
      <c r="A26" s="34" t="s">
        <v>163</v>
      </c>
      <c r="B26" s="34" t="s">
        <v>90</v>
      </c>
      <c r="C26" s="34" t="s">
        <v>161</v>
      </c>
      <c r="D26" s="34">
        <v>16</v>
      </c>
      <c r="E26" s="34" t="s">
        <v>60</v>
      </c>
      <c r="F26" s="34">
        <v>3</v>
      </c>
      <c r="G26" s="45">
        <v>0.02</v>
      </c>
      <c r="H26" s="35">
        <v>46023</v>
      </c>
      <c r="I26" s="35"/>
      <c r="J26" s="41" t="b">
        <v>1</v>
      </c>
    </row>
    <row r="27" spans="1:10">
      <c r="A27" s="34" t="s">
        <v>164</v>
      </c>
      <c r="B27" s="34" t="s">
        <v>93</v>
      </c>
      <c r="C27" s="34" t="s">
        <v>161</v>
      </c>
      <c r="D27" s="34">
        <v>10</v>
      </c>
      <c r="E27" s="34" t="s">
        <v>76</v>
      </c>
      <c r="F27" s="34">
        <v>2</v>
      </c>
      <c r="G27" s="45">
        <v>0</v>
      </c>
      <c r="H27" s="35">
        <v>46023</v>
      </c>
      <c r="I27" s="35"/>
      <c r="J27" s="41" t="b">
        <v>1</v>
      </c>
    </row>
    <row r="28" spans="1:10">
      <c r="A28" s="34" t="s">
        <v>164</v>
      </c>
      <c r="B28" s="34" t="s">
        <v>93</v>
      </c>
      <c r="C28" s="34" t="s">
        <v>161</v>
      </c>
      <c r="D28" s="34">
        <v>11</v>
      </c>
      <c r="E28" s="34" t="s">
        <v>56</v>
      </c>
      <c r="F28" s="34">
        <v>1</v>
      </c>
      <c r="G28" s="45">
        <v>0</v>
      </c>
      <c r="H28" s="35">
        <v>46023</v>
      </c>
      <c r="I28" s="35"/>
      <c r="J28" s="41" t="b">
        <v>1</v>
      </c>
    </row>
    <row r="29" spans="1:10">
      <c r="A29" s="34" t="s">
        <v>164</v>
      </c>
      <c r="B29" s="34" t="s">
        <v>93</v>
      </c>
      <c r="C29" s="34" t="s">
        <v>161</v>
      </c>
      <c r="D29" s="34">
        <v>12</v>
      </c>
      <c r="E29" s="34" t="s">
        <v>36</v>
      </c>
      <c r="F29" s="34">
        <v>1</v>
      </c>
      <c r="G29" s="45">
        <v>0</v>
      </c>
      <c r="H29" s="35">
        <v>46023</v>
      </c>
      <c r="I29" s="35"/>
      <c r="J29" s="41" t="b">
        <v>1</v>
      </c>
    </row>
    <row r="30" spans="1:10">
      <c r="A30" s="34" t="s">
        <v>164</v>
      </c>
      <c r="B30" s="34" t="s">
        <v>93</v>
      </c>
      <c r="C30" s="34" t="s">
        <v>161</v>
      </c>
      <c r="D30" s="34">
        <v>13</v>
      </c>
      <c r="E30" s="34" t="s">
        <v>41</v>
      </c>
      <c r="F30" s="34">
        <v>2</v>
      </c>
      <c r="G30" s="45">
        <v>0</v>
      </c>
      <c r="H30" s="35">
        <v>46023</v>
      </c>
      <c r="I30" s="35"/>
      <c r="J30" s="41" t="b">
        <v>1</v>
      </c>
    </row>
    <row r="31" spans="1:10">
      <c r="A31" s="34" t="s">
        <v>164</v>
      </c>
      <c r="B31" s="34" t="s">
        <v>93</v>
      </c>
      <c r="C31" s="34" t="s">
        <v>161</v>
      </c>
      <c r="D31" s="34">
        <v>14</v>
      </c>
      <c r="E31" s="34" t="s">
        <v>79</v>
      </c>
      <c r="F31" s="34">
        <v>8</v>
      </c>
      <c r="G31" s="47">
        <v>0.02</v>
      </c>
      <c r="H31" s="35">
        <v>46023</v>
      </c>
      <c r="I31" s="35"/>
      <c r="J31" s="41" t="b">
        <v>1</v>
      </c>
    </row>
    <row r="32" spans="1:10">
      <c r="A32" s="34" t="s">
        <v>164</v>
      </c>
      <c r="B32" s="34" t="s">
        <v>93</v>
      </c>
      <c r="C32" s="34" t="s">
        <v>161</v>
      </c>
      <c r="D32" s="34">
        <v>15</v>
      </c>
      <c r="E32" s="34" t="s">
        <v>60</v>
      </c>
      <c r="F32" s="34">
        <v>2</v>
      </c>
      <c r="G32" s="45">
        <v>0.02</v>
      </c>
      <c r="H32" s="35">
        <v>46023</v>
      </c>
      <c r="I32" s="35"/>
      <c r="J32" s="41" t="b">
        <v>1</v>
      </c>
    </row>
    <row r="33" spans="1:10">
      <c r="A33" s="34" t="s">
        <v>165</v>
      </c>
      <c r="B33" s="34" t="s">
        <v>96</v>
      </c>
      <c r="C33" s="34" t="s">
        <v>161</v>
      </c>
      <c r="D33" s="34">
        <v>10</v>
      </c>
      <c r="E33" s="34" t="s">
        <v>41</v>
      </c>
      <c r="F33" s="34">
        <v>3</v>
      </c>
      <c r="G33" s="45">
        <v>0</v>
      </c>
      <c r="H33" s="35">
        <v>46023</v>
      </c>
      <c r="I33" s="35"/>
      <c r="J33" s="41" t="b">
        <v>1</v>
      </c>
    </row>
    <row r="34" spans="1:10">
      <c r="A34" s="34" t="s">
        <v>165</v>
      </c>
      <c r="B34" s="34" t="s">
        <v>96</v>
      </c>
      <c r="C34" s="34" t="s">
        <v>161</v>
      </c>
      <c r="D34" s="34">
        <v>11</v>
      </c>
      <c r="E34" s="34" t="s">
        <v>67</v>
      </c>
      <c r="F34" s="34">
        <v>2</v>
      </c>
      <c r="G34" s="45">
        <v>0</v>
      </c>
      <c r="H34" s="35">
        <v>46023</v>
      </c>
      <c r="I34" s="35"/>
      <c r="J34" s="41" t="b">
        <v>1</v>
      </c>
    </row>
    <row r="35" spans="1:10">
      <c r="A35" s="34" t="s">
        <v>165</v>
      </c>
      <c r="B35" s="34" t="s">
        <v>96</v>
      </c>
      <c r="C35" s="34" t="s">
        <v>161</v>
      </c>
      <c r="D35" s="34">
        <v>12</v>
      </c>
      <c r="E35" s="34" t="s">
        <v>56</v>
      </c>
      <c r="F35" s="34">
        <v>1</v>
      </c>
      <c r="G35" s="45">
        <v>0</v>
      </c>
      <c r="H35" s="35">
        <v>46023</v>
      </c>
      <c r="I35" s="35"/>
      <c r="J35" s="41" t="b">
        <v>1</v>
      </c>
    </row>
    <row r="36" spans="1:10">
      <c r="A36" s="34" t="s">
        <v>165</v>
      </c>
      <c r="B36" s="34" t="s">
        <v>96</v>
      </c>
      <c r="C36" s="34" t="s">
        <v>161</v>
      </c>
      <c r="D36" s="34">
        <v>13</v>
      </c>
      <c r="E36" s="34" t="s">
        <v>60</v>
      </c>
      <c r="F36" s="34">
        <v>2</v>
      </c>
      <c r="G36" s="45">
        <v>0.02</v>
      </c>
      <c r="H36" s="35">
        <v>46023</v>
      </c>
      <c r="I36" s="35"/>
      <c r="J36" s="41" t="b">
        <v>1</v>
      </c>
    </row>
  </sheetData>
  <mergeCells count="1">
    <mergeCell ref="A1:J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74"/>
  <sheetViews>
    <sheetView workbookViewId="0">
      <selection activeCell="G12" sqref="G12"/>
    </sheetView>
  </sheetViews>
  <sheetFormatPr defaultRowHeight="15.6"/>
  <cols>
    <col min="1" max="2" width="15" style="2" customWidth="1"/>
    <col min="3" max="3" width="13" style="2" customWidth="1"/>
    <col min="4" max="4" width="15.59765625" style="2" customWidth="1"/>
    <col min="5" max="5" width="12" style="2" customWidth="1"/>
    <col min="6" max="6" width="16" style="2" customWidth="1"/>
    <col min="7" max="7" width="20" style="2" customWidth="1"/>
    <col min="8" max="16384" width="8.796875" style="2"/>
  </cols>
  <sheetData>
    <row r="1" spans="1:7" ht="27" customHeight="1">
      <c r="A1" s="32" t="s">
        <v>166</v>
      </c>
      <c r="B1" s="32"/>
      <c r="C1" s="32"/>
      <c r="D1" s="32"/>
      <c r="E1" s="32"/>
      <c r="F1" s="32"/>
      <c r="G1" s="32"/>
    </row>
    <row r="3" spans="1:7" ht="31.2">
      <c r="A3" s="29" t="s">
        <v>167</v>
      </c>
      <c r="B3" s="29" t="s">
        <v>1</v>
      </c>
      <c r="C3" s="29" t="s">
        <v>134</v>
      </c>
      <c r="D3" s="29" t="s">
        <v>168</v>
      </c>
      <c r="E3" s="29" t="s">
        <v>169</v>
      </c>
      <c r="F3" s="29" t="s">
        <v>170</v>
      </c>
      <c r="G3" s="29" t="s">
        <v>171</v>
      </c>
    </row>
    <row r="4" spans="1:7">
      <c r="A4" s="35">
        <v>46053</v>
      </c>
      <c r="B4" s="34" t="s">
        <v>15</v>
      </c>
      <c r="C4" s="34" t="s">
        <v>139</v>
      </c>
      <c r="D4" s="34" t="s">
        <v>172</v>
      </c>
      <c r="E4" s="34">
        <v>8</v>
      </c>
      <c r="F4" s="37">
        <v>640</v>
      </c>
      <c r="G4" s="37">
        <f t="shared" ref="G4:G67" si="0">E4*F4</f>
        <v>5120</v>
      </c>
    </row>
    <row r="5" spans="1:7">
      <c r="A5" s="35">
        <v>46053</v>
      </c>
      <c r="B5" s="34" t="s">
        <v>15</v>
      </c>
      <c r="C5" s="34" t="s">
        <v>139</v>
      </c>
      <c r="D5" s="34" t="s">
        <v>173</v>
      </c>
      <c r="E5" s="34">
        <v>12</v>
      </c>
      <c r="F5" s="37">
        <v>640</v>
      </c>
      <c r="G5" s="37">
        <f t="shared" si="0"/>
        <v>7680</v>
      </c>
    </row>
    <row r="6" spans="1:7">
      <c r="A6" s="35">
        <v>46053</v>
      </c>
      <c r="B6" s="34" t="s">
        <v>15</v>
      </c>
      <c r="C6" s="34" t="s">
        <v>139</v>
      </c>
      <c r="D6" s="34" t="s">
        <v>174</v>
      </c>
      <c r="E6" s="34">
        <v>5</v>
      </c>
      <c r="F6" s="37">
        <v>640</v>
      </c>
      <c r="G6" s="37">
        <f t="shared" si="0"/>
        <v>3200</v>
      </c>
    </row>
    <row r="7" spans="1:7">
      <c r="A7" s="35">
        <v>46053</v>
      </c>
      <c r="B7" s="34" t="s">
        <v>15</v>
      </c>
      <c r="C7" s="34" t="s">
        <v>139</v>
      </c>
      <c r="D7" s="34" t="s">
        <v>175</v>
      </c>
      <c r="E7" s="34">
        <v>6</v>
      </c>
      <c r="F7" s="37">
        <v>640</v>
      </c>
      <c r="G7" s="37">
        <f t="shared" si="0"/>
        <v>3840</v>
      </c>
    </row>
    <row r="8" spans="1:7">
      <c r="A8" s="35">
        <v>46053</v>
      </c>
      <c r="B8" s="34" t="s">
        <v>15</v>
      </c>
      <c r="C8" s="34" t="s">
        <v>143</v>
      </c>
      <c r="D8" s="34" t="s">
        <v>172</v>
      </c>
      <c r="E8" s="34">
        <v>32</v>
      </c>
      <c r="F8" s="37">
        <v>640</v>
      </c>
      <c r="G8" s="37">
        <f t="shared" si="0"/>
        <v>20480</v>
      </c>
    </row>
    <row r="9" spans="1:7">
      <c r="A9" s="35">
        <v>46053</v>
      </c>
      <c r="B9" s="34" t="s">
        <v>15</v>
      </c>
      <c r="C9" s="34" t="s">
        <v>143</v>
      </c>
      <c r="D9" s="34" t="s">
        <v>174</v>
      </c>
      <c r="E9" s="34">
        <v>3</v>
      </c>
      <c r="F9" s="37">
        <v>640</v>
      </c>
      <c r="G9" s="37">
        <f t="shared" si="0"/>
        <v>1920</v>
      </c>
    </row>
    <row r="10" spans="1:7">
      <c r="A10" s="35">
        <v>46053</v>
      </c>
      <c r="B10" s="34" t="s">
        <v>15</v>
      </c>
      <c r="C10" s="34" t="s">
        <v>143</v>
      </c>
      <c r="D10" s="34" t="s">
        <v>175</v>
      </c>
      <c r="E10" s="34">
        <v>8</v>
      </c>
      <c r="F10" s="37">
        <v>640</v>
      </c>
      <c r="G10" s="37">
        <f t="shared" si="0"/>
        <v>5120</v>
      </c>
    </row>
    <row r="11" spans="1:7">
      <c r="A11" s="35">
        <v>46053</v>
      </c>
      <c r="B11" s="34" t="s">
        <v>24</v>
      </c>
      <c r="C11" s="34" t="s">
        <v>139</v>
      </c>
      <c r="D11" s="34" t="s">
        <v>172</v>
      </c>
      <c r="E11" s="34">
        <v>18</v>
      </c>
      <c r="F11" s="37">
        <v>82</v>
      </c>
      <c r="G11" s="37">
        <f t="shared" si="0"/>
        <v>1476</v>
      </c>
    </row>
    <row r="12" spans="1:7">
      <c r="A12" s="35">
        <v>46053</v>
      </c>
      <c r="B12" s="34" t="s">
        <v>24</v>
      </c>
      <c r="C12" s="34" t="s">
        <v>139</v>
      </c>
      <c r="D12" s="34" t="s">
        <v>173</v>
      </c>
      <c r="E12" s="34">
        <v>10</v>
      </c>
      <c r="F12" s="37">
        <v>82</v>
      </c>
      <c r="G12" s="37">
        <f t="shared" si="0"/>
        <v>820</v>
      </c>
    </row>
    <row r="13" spans="1:7">
      <c r="A13" s="35">
        <v>46053</v>
      </c>
      <c r="B13" s="34" t="s">
        <v>24</v>
      </c>
      <c r="C13" s="34" t="s">
        <v>139</v>
      </c>
      <c r="D13" s="34" t="s">
        <v>176</v>
      </c>
      <c r="E13" s="34">
        <v>2</v>
      </c>
      <c r="F13" s="37">
        <v>82</v>
      </c>
      <c r="G13" s="37">
        <f t="shared" si="0"/>
        <v>164</v>
      </c>
    </row>
    <row r="14" spans="1:7">
      <c r="A14" s="35">
        <v>46053</v>
      </c>
      <c r="B14" s="34" t="s">
        <v>24</v>
      </c>
      <c r="C14" s="34" t="s">
        <v>139</v>
      </c>
      <c r="D14" s="34" t="s">
        <v>174</v>
      </c>
      <c r="E14" s="34">
        <v>6</v>
      </c>
      <c r="F14" s="37">
        <v>82</v>
      </c>
      <c r="G14" s="37">
        <f t="shared" si="0"/>
        <v>492</v>
      </c>
    </row>
    <row r="15" spans="1:7" ht="9.9" customHeight="1">
      <c r="A15" s="35">
        <v>46053</v>
      </c>
      <c r="B15" s="34" t="s">
        <v>24</v>
      </c>
      <c r="C15" s="34" t="s">
        <v>143</v>
      </c>
      <c r="D15" s="34" t="s">
        <v>172</v>
      </c>
      <c r="E15" s="43">
        <v>44</v>
      </c>
      <c r="F15" s="37">
        <v>82</v>
      </c>
      <c r="G15" s="37">
        <f t="shared" si="0"/>
        <v>3608</v>
      </c>
    </row>
    <row r="16" spans="1:7">
      <c r="A16" s="35">
        <v>46053</v>
      </c>
      <c r="B16" s="34" t="s">
        <v>24</v>
      </c>
      <c r="C16" s="34" t="s">
        <v>143</v>
      </c>
      <c r="D16" s="34" t="s">
        <v>174</v>
      </c>
      <c r="E16" s="34">
        <v>4</v>
      </c>
      <c r="F16" s="37">
        <v>82</v>
      </c>
      <c r="G16" s="37">
        <f t="shared" si="0"/>
        <v>328</v>
      </c>
    </row>
    <row r="17" spans="1:7">
      <c r="A17" s="35">
        <v>46053</v>
      </c>
      <c r="B17" s="34" t="s">
        <v>29</v>
      </c>
      <c r="C17" s="34" t="s">
        <v>139</v>
      </c>
      <c r="D17" s="34" t="s">
        <v>172</v>
      </c>
      <c r="E17" s="34">
        <v>17</v>
      </c>
      <c r="F17" s="37">
        <v>46</v>
      </c>
      <c r="G17" s="37">
        <f t="shared" si="0"/>
        <v>782</v>
      </c>
    </row>
    <row r="18" spans="1:7">
      <c r="A18" s="35">
        <v>46053</v>
      </c>
      <c r="B18" s="34" t="s">
        <v>29</v>
      </c>
      <c r="C18" s="34" t="s">
        <v>139</v>
      </c>
      <c r="D18" s="34" t="s">
        <v>174</v>
      </c>
      <c r="E18" s="34">
        <v>7</v>
      </c>
      <c r="F18" s="37">
        <v>46</v>
      </c>
      <c r="G18" s="37">
        <f t="shared" si="0"/>
        <v>322</v>
      </c>
    </row>
    <row r="19" spans="1:7">
      <c r="A19" s="35">
        <v>46053</v>
      </c>
      <c r="B19" s="34" t="s">
        <v>29</v>
      </c>
      <c r="C19" s="34" t="s">
        <v>139</v>
      </c>
      <c r="D19" s="34" t="s">
        <v>175</v>
      </c>
      <c r="E19" s="34">
        <v>6</v>
      </c>
      <c r="F19" s="37">
        <v>46</v>
      </c>
      <c r="G19" s="37">
        <f t="shared" si="0"/>
        <v>276</v>
      </c>
    </row>
    <row r="20" spans="1:7">
      <c r="A20" s="35">
        <v>46053</v>
      </c>
      <c r="B20" s="34" t="s">
        <v>29</v>
      </c>
      <c r="C20" s="34" t="s">
        <v>143</v>
      </c>
      <c r="D20" s="34" t="s">
        <v>172</v>
      </c>
      <c r="E20" s="34">
        <v>16</v>
      </c>
      <c r="F20" s="37">
        <v>46</v>
      </c>
      <c r="G20" s="37">
        <f t="shared" si="0"/>
        <v>736</v>
      </c>
    </row>
    <row r="21" spans="1:7">
      <c r="A21" s="35">
        <v>46053</v>
      </c>
      <c r="B21" s="34" t="s">
        <v>29</v>
      </c>
      <c r="C21" s="34" t="s">
        <v>143</v>
      </c>
      <c r="D21" s="43" t="s">
        <v>174</v>
      </c>
      <c r="E21" s="34">
        <v>4</v>
      </c>
      <c r="F21" s="37">
        <v>46</v>
      </c>
      <c r="G21" s="37">
        <f t="shared" si="0"/>
        <v>184</v>
      </c>
    </row>
    <row r="22" spans="1:7">
      <c r="A22" s="35">
        <v>46053</v>
      </c>
      <c r="B22" s="34" t="s">
        <v>29</v>
      </c>
      <c r="C22" s="34" t="s">
        <v>143</v>
      </c>
      <c r="D22" s="34" t="s">
        <v>175</v>
      </c>
      <c r="E22" s="34">
        <v>1</v>
      </c>
      <c r="F22" s="37">
        <v>46</v>
      </c>
      <c r="G22" s="37">
        <f t="shared" si="0"/>
        <v>46</v>
      </c>
    </row>
    <row r="23" spans="1:7">
      <c r="A23" s="35">
        <v>46053</v>
      </c>
      <c r="B23" s="34" t="s">
        <v>36</v>
      </c>
      <c r="C23" s="34" t="s">
        <v>139</v>
      </c>
      <c r="D23" s="34" t="s">
        <v>172</v>
      </c>
      <c r="E23" s="34">
        <v>5</v>
      </c>
      <c r="F23" s="37">
        <v>420</v>
      </c>
      <c r="G23" s="37">
        <f t="shared" si="0"/>
        <v>2100</v>
      </c>
    </row>
    <row r="24" spans="1:7">
      <c r="A24" s="35">
        <v>46053</v>
      </c>
      <c r="B24" s="34" t="s">
        <v>36</v>
      </c>
      <c r="C24" s="34" t="s">
        <v>139</v>
      </c>
      <c r="D24" s="34" t="s">
        <v>174</v>
      </c>
      <c r="E24" s="34">
        <v>2</v>
      </c>
      <c r="F24" s="37">
        <v>420</v>
      </c>
      <c r="G24" s="37">
        <f t="shared" si="0"/>
        <v>840</v>
      </c>
    </row>
    <row r="25" spans="1:7">
      <c r="A25" s="35">
        <v>46053</v>
      </c>
      <c r="B25" s="34" t="s">
        <v>36</v>
      </c>
      <c r="C25" s="34" t="s">
        <v>139</v>
      </c>
      <c r="D25" s="34" t="s">
        <v>175</v>
      </c>
      <c r="E25" s="34">
        <v>6</v>
      </c>
      <c r="F25" s="37">
        <v>420</v>
      </c>
      <c r="G25" s="37">
        <f t="shared" si="0"/>
        <v>2520</v>
      </c>
    </row>
    <row r="26" spans="1:7">
      <c r="A26" s="35">
        <v>46053</v>
      </c>
      <c r="B26" s="34" t="s">
        <v>36</v>
      </c>
      <c r="C26" s="34" t="s">
        <v>143</v>
      </c>
      <c r="D26" s="34" t="s">
        <v>172</v>
      </c>
      <c r="E26" s="34">
        <v>26</v>
      </c>
      <c r="F26" s="37">
        <v>420</v>
      </c>
      <c r="G26" s="37">
        <f t="shared" si="0"/>
        <v>10920</v>
      </c>
    </row>
    <row r="27" spans="1:7">
      <c r="A27" s="35">
        <v>46053</v>
      </c>
      <c r="B27" s="34" t="s">
        <v>36</v>
      </c>
      <c r="C27" s="34" t="s">
        <v>143</v>
      </c>
      <c r="D27" s="34" t="s">
        <v>174</v>
      </c>
      <c r="E27" s="34">
        <v>1</v>
      </c>
      <c r="F27" s="37">
        <v>420</v>
      </c>
      <c r="G27" s="37">
        <f t="shared" si="0"/>
        <v>420</v>
      </c>
    </row>
    <row r="28" spans="1:7">
      <c r="A28" s="35">
        <v>46053</v>
      </c>
      <c r="B28" s="34" t="s">
        <v>36</v>
      </c>
      <c r="C28" s="34" t="s">
        <v>143</v>
      </c>
      <c r="D28" s="34" t="s">
        <v>175</v>
      </c>
      <c r="E28" s="34">
        <v>6</v>
      </c>
      <c r="F28" s="37">
        <v>420</v>
      </c>
      <c r="G28" s="37">
        <f t="shared" si="0"/>
        <v>2520</v>
      </c>
    </row>
    <row r="29" spans="1:7">
      <c r="A29" s="35">
        <v>46053</v>
      </c>
      <c r="B29" s="34" t="s">
        <v>41</v>
      </c>
      <c r="C29" s="34" t="s">
        <v>139</v>
      </c>
      <c r="D29" s="34" t="s">
        <v>172</v>
      </c>
      <c r="E29" s="34">
        <v>15</v>
      </c>
      <c r="F29" s="37">
        <v>175</v>
      </c>
      <c r="G29" s="37">
        <f t="shared" si="0"/>
        <v>2625</v>
      </c>
    </row>
    <row r="30" spans="1:7">
      <c r="A30" s="35">
        <v>46053</v>
      </c>
      <c r="B30" s="34" t="s">
        <v>41</v>
      </c>
      <c r="C30" s="34" t="s">
        <v>139</v>
      </c>
      <c r="D30" s="34" t="s">
        <v>174</v>
      </c>
      <c r="E30" s="34">
        <v>4</v>
      </c>
      <c r="F30" s="37">
        <v>175</v>
      </c>
      <c r="G30" s="37">
        <f t="shared" si="0"/>
        <v>700</v>
      </c>
    </row>
    <row r="31" spans="1:7">
      <c r="A31" s="35">
        <v>46053</v>
      </c>
      <c r="B31" s="34" t="s">
        <v>41</v>
      </c>
      <c r="C31" s="34" t="s">
        <v>143</v>
      </c>
      <c r="D31" s="34" t="s">
        <v>172</v>
      </c>
      <c r="E31" s="34">
        <v>20</v>
      </c>
      <c r="F31" s="37">
        <v>175</v>
      </c>
      <c r="G31" s="37">
        <f t="shared" si="0"/>
        <v>3500</v>
      </c>
    </row>
    <row r="32" spans="1:7">
      <c r="A32" s="35">
        <v>46053</v>
      </c>
      <c r="B32" s="34" t="s">
        <v>41</v>
      </c>
      <c r="C32" s="34" t="s">
        <v>143</v>
      </c>
      <c r="D32" s="34" t="s">
        <v>174</v>
      </c>
      <c r="E32" s="34">
        <v>5</v>
      </c>
      <c r="F32" s="37">
        <v>175</v>
      </c>
      <c r="G32" s="37">
        <f t="shared" si="0"/>
        <v>875</v>
      </c>
    </row>
    <row r="33" spans="1:7">
      <c r="A33" s="35">
        <v>46053</v>
      </c>
      <c r="B33" s="34" t="s">
        <v>41</v>
      </c>
      <c r="C33" s="34" t="s">
        <v>143</v>
      </c>
      <c r="D33" s="34" t="s">
        <v>175</v>
      </c>
      <c r="E33" s="34">
        <v>6</v>
      </c>
      <c r="F33" s="37">
        <v>175</v>
      </c>
      <c r="G33" s="37">
        <f t="shared" si="0"/>
        <v>1050</v>
      </c>
    </row>
    <row r="34" spans="1:7">
      <c r="A34" s="35">
        <v>46053</v>
      </c>
      <c r="B34" s="34" t="s">
        <v>45</v>
      </c>
      <c r="C34" s="43" t="s">
        <v>139</v>
      </c>
      <c r="D34" s="34" t="s">
        <v>172</v>
      </c>
      <c r="E34" s="34">
        <v>21</v>
      </c>
      <c r="F34" s="37">
        <v>220</v>
      </c>
      <c r="G34" s="37">
        <f t="shared" si="0"/>
        <v>4620</v>
      </c>
    </row>
    <row r="35" spans="1:7">
      <c r="A35" s="35">
        <v>46053</v>
      </c>
      <c r="B35" s="34" t="s">
        <v>45</v>
      </c>
      <c r="C35" s="34" t="s">
        <v>139</v>
      </c>
      <c r="D35" s="34" t="s">
        <v>174</v>
      </c>
      <c r="E35" s="34">
        <v>2</v>
      </c>
      <c r="F35" s="37">
        <v>220</v>
      </c>
      <c r="G35" s="37">
        <f t="shared" si="0"/>
        <v>440</v>
      </c>
    </row>
    <row r="36" spans="1:7">
      <c r="A36" s="35">
        <v>46053</v>
      </c>
      <c r="B36" s="34" t="s">
        <v>45</v>
      </c>
      <c r="C36" s="34" t="s">
        <v>139</v>
      </c>
      <c r="D36" s="34" t="s">
        <v>175</v>
      </c>
      <c r="E36" s="34">
        <v>4</v>
      </c>
      <c r="F36" s="37">
        <v>220</v>
      </c>
      <c r="G36" s="37">
        <f t="shared" si="0"/>
        <v>880</v>
      </c>
    </row>
    <row r="37" spans="1:7">
      <c r="A37" s="35">
        <v>46053</v>
      </c>
      <c r="B37" s="34" t="s">
        <v>45</v>
      </c>
      <c r="C37" s="34" t="s">
        <v>143</v>
      </c>
      <c r="D37" s="34" t="s">
        <v>172</v>
      </c>
      <c r="E37" s="34">
        <v>23</v>
      </c>
      <c r="F37" s="37">
        <v>220</v>
      </c>
      <c r="G37" s="37">
        <f t="shared" si="0"/>
        <v>5060</v>
      </c>
    </row>
    <row r="38" spans="1:7">
      <c r="A38" s="35">
        <v>46053</v>
      </c>
      <c r="B38" s="34" t="s">
        <v>45</v>
      </c>
      <c r="C38" s="34" t="s">
        <v>143</v>
      </c>
      <c r="D38" s="34" t="s">
        <v>174</v>
      </c>
      <c r="E38" s="34">
        <v>2</v>
      </c>
      <c r="F38" s="37">
        <v>220</v>
      </c>
      <c r="G38" s="37">
        <f t="shared" si="0"/>
        <v>440</v>
      </c>
    </row>
    <row r="39" spans="1:7">
      <c r="A39" s="35">
        <v>46053</v>
      </c>
      <c r="B39" s="34" t="s">
        <v>45</v>
      </c>
      <c r="C39" s="34" t="s">
        <v>143</v>
      </c>
      <c r="D39" s="34" t="s">
        <v>175</v>
      </c>
      <c r="E39" s="34">
        <v>3</v>
      </c>
      <c r="F39" s="37">
        <v>220</v>
      </c>
      <c r="G39" s="37">
        <f t="shared" si="0"/>
        <v>660</v>
      </c>
    </row>
    <row r="40" spans="1:7">
      <c r="A40" s="35">
        <v>46053</v>
      </c>
      <c r="B40" s="34" t="s">
        <v>50</v>
      </c>
      <c r="C40" s="34" t="s">
        <v>139</v>
      </c>
      <c r="D40" s="34" t="s">
        <v>172</v>
      </c>
      <c r="E40" s="34">
        <v>35</v>
      </c>
      <c r="F40" s="46">
        <v>135</v>
      </c>
      <c r="G40" s="37">
        <f t="shared" si="0"/>
        <v>4725</v>
      </c>
    </row>
    <row r="41" spans="1:7">
      <c r="A41" s="35">
        <v>46053</v>
      </c>
      <c r="B41" s="34" t="s">
        <v>50</v>
      </c>
      <c r="C41" s="34" t="s">
        <v>139</v>
      </c>
      <c r="D41" s="34" t="s">
        <v>174</v>
      </c>
      <c r="E41" s="34">
        <v>2</v>
      </c>
      <c r="F41" s="37">
        <v>135</v>
      </c>
      <c r="G41" s="37">
        <f t="shared" si="0"/>
        <v>270</v>
      </c>
    </row>
    <row r="42" spans="1:7">
      <c r="A42" s="35">
        <v>46053</v>
      </c>
      <c r="B42" s="34" t="s">
        <v>50</v>
      </c>
      <c r="C42" s="34" t="s">
        <v>139</v>
      </c>
      <c r="D42" s="34" t="s">
        <v>175</v>
      </c>
      <c r="E42" s="34">
        <v>8</v>
      </c>
      <c r="F42" s="37">
        <v>135</v>
      </c>
      <c r="G42" s="37">
        <f t="shared" si="0"/>
        <v>1080</v>
      </c>
    </row>
    <row r="43" spans="1:7">
      <c r="A43" s="35">
        <v>46053</v>
      </c>
      <c r="B43" s="34" t="s">
        <v>50</v>
      </c>
      <c r="C43" s="34" t="s">
        <v>143</v>
      </c>
      <c r="D43" s="34" t="s">
        <v>172</v>
      </c>
      <c r="E43" s="34">
        <v>16</v>
      </c>
      <c r="F43" s="37">
        <v>135</v>
      </c>
      <c r="G43" s="37">
        <f t="shared" si="0"/>
        <v>2160</v>
      </c>
    </row>
    <row r="44" spans="1:7">
      <c r="A44" s="35">
        <v>46053</v>
      </c>
      <c r="B44" s="34" t="s">
        <v>50</v>
      </c>
      <c r="C44" s="34" t="s">
        <v>143</v>
      </c>
      <c r="D44" s="34" t="s">
        <v>174</v>
      </c>
      <c r="E44" s="34">
        <v>1</v>
      </c>
      <c r="F44" s="37">
        <v>135</v>
      </c>
      <c r="G44" s="37">
        <f t="shared" si="0"/>
        <v>135</v>
      </c>
    </row>
    <row r="45" spans="1:7">
      <c r="A45" s="35">
        <v>46053</v>
      </c>
      <c r="B45" s="34" t="s">
        <v>50</v>
      </c>
      <c r="C45" s="34" t="s">
        <v>143</v>
      </c>
      <c r="D45" s="34" t="s">
        <v>175</v>
      </c>
      <c r="E45" s="34">
        <v>3</v>
      </c>
      <c r="F45" s="37">
        <v>135</v>
      </c>
      <c r="G45" s="37">
        <f t="shared" si="0"/>
        <v>405</v>
      </c>
    </row>
    <row r="46" spans="1:7">
      <c r="A46" s="35">
        <v>46053</v>
      </c>
      <c r="B46" s="34" t="s">
        <v>53</v>
      </c>
      <c r="C46" s="34" t="s">
        <v>139</v>
      </c>
      <c r="D46" s="34" t="s">
        <v>172</v>
      </c>
      <c r="E46" s="34">
        <v>43</v>
      </c>
      <c r="F46" s="37">
        <v>160</v>
      </c>
      <c r="G46" s="37">
        <f t="shared" si="0"/>
        <v>6880</v>
      </c>
    </row>
    <row r="47" spans="1:7">
      <c r="A47" s="35">
        <v>46053</v>
      </c>
      <c r="B47" s="34" t="s">
        <v>53</v>
      </c>
      <c r="C47" s="34" t="s">
        <v>139</v>
      </c>
      <c r="D47" s="34" t="s">
        <v>174</v>
      </c>
      <c r="E47" s="34">
        <v>7</v>
      </c>
      <c r="F47" s="37">
        <v>160</v>
      </c>
      <c r="G47" s="37">
        <f t="shared" si="0"/>
        <v>1120</v>
      </c>
    </row>
    <row r="48" spans="1:7">
      <c r="A48" s="35">
        <v>46053</v>
      </c>
      <c r="B48" s="34" t="s">
        <v>53</v>
      </c>
      <c r="C48" s="34" t="s">
        <v>139</v>
      </c>
      <c r="D48" s="34" t="s">
        <v>175</v>
      </c>
      <c r="E48" s="34">
        <v>5</v>
      </c>
      <c r="F48" s="37">
        <v>160</v>
      </c>
      <c r="G48" s="37">
        <f t="shared" si="0"/>
        <v>800</v>
      </c>
    </row>
    <row r="49" spans="1:7">
      <c r="A49" s="35">
        <v>46053</v>
      </c>
      <c r="B49" s="34" t="s">
        <v>53</v>
      </c>
      <c r="C49" s="34" t="s">
        <v>143</v>
      </c>
      <c r="D49" s="34" t="s">
        <v>172</v>
      </c>
      <c r="E49" s="34">
        <v>41</v>
      </c>
      <c r="F49" s="37">
        <v>160</v>
      </c>
      <c r="G49" s="37">
        <f t="shared" si="0"/>
        <v>6560</v>
      </c>
    </row>
    <row r="50" spans="1:7">
      <c r="A50" s="35">
        <v>46053</v>
      </c>
      <c r="B50" s="34" t="s">
        <v>53</v>
      </c>
      <c r="C50" s="34" t="s">
        <v>143</v>
      </c>
      <c r="D50" s="34" t="s">
        <v>174</v>
      </c>
      <c r="E50" s="34">
        <v>8</v>
      </c>
      <c r="F50" s="37">
        <v>160</v>
      </c>
      <c r="G50" s="37">
        <f t="shared" si="0"/>
        <v>1280</v>
      </c>
    </row>
    <row r="51" spans="1:7">
      <c r="A51" s="35">
        <v>46053</v>
      </c>
      <c r="B51" s="34" t="s">
        <v>53</v>
      </c>
      <c r="C51" s="34" t="s">
        <v>143</v>
      </c>
      <c r="D51" s="34" t="s">
        <v>175</v>
      </c>
      <c r="E51" s="34">
        <v>5</v>
      </c>
      <c r="F51" s="37">
        <v>160</v>
      </c>
      <c r="G51" s="37">
        <f t="shared" si="0"/>
        <v>800</v>
      </c>
    </row>
    <row r="52" spans="1:7">
      <c r="A52" s="35">
        <v>46053</v>
      </c>
      <c r="B52" s="34" t="s">
        <v>56</v>
      </c>
      <c r="C52" s="34" t="s">
        <v>139</v>
      </c>
      <c r="D52" s="34" t="s">
        <v>172</v>
      </c>
      <c r="E52" s="34">
        <v>31</v>
      </c>
      <c r="F52" s="37">
        <v>95</v>
      </c>
      <c r="G52" s="37">
        <f t="shared" si="0"/>
        <v>2945</v>
      </c>
    </row>
    <row r="53" spans="1:7">
      <c r="A53" s="35">
        <v>46053</v>
      </c>
      <c r="B53" s="34" t="s">
        <v>56</v>
      </c>
      <c r="C53" s="34" t="s">
        <v>139</v>
      </c>
      <c r="D53" s="34" t="s">
        <v>174</v>
      </c>
      <c r="E53" s="34">
        <v>4</v>
      </c>
      <c r="F53" s="37">
        <v>95</v>
      </c>
      <c r="G53" s="37">
        <f t="shared" si="0"/>
        <v>380</v>
      </c>
    </row>
    <row r="54" spans="1:7">
      <c r="A54" s="35">
        <v>46053</v>
      </c>
      <c r="B54" s="34" t="s">
        <v>56</v>
      </c>
      <c r="C54" s="34" t="s">
        <v>139</v>
      </c>
      <c r="D54" s="34" t="s">
        <v>175</v>
      </c>
      <c r="E54" s="34">
        <v>2</v>
      </c>
      <c r="F54" s="37">
        <v>95</v>
      </c>
      <c r="G54" s="37">
        <f t="shared" si="0"/>
        <v>190</v>
      </c>
    </row>
    <row r="55" spans="1:7">
      <c r="A55" s="35">
        <v>46053</v>
      </c>
      <c r="B55" s="34" t="s">
        <v>56</v>
      </c>
      <c r="C55" s="34" t="s">
        <v>143</v>
      </c>
      <c r="D55" s="34" t="s">
        <v>172</v>
      </c>
      <c r="E55" s="34">
        <v>27</v>
      </c>
      <c r="F55" s="37">
        <v>95</v>
      </c>
      <c r="G55" s="37">
        <f t="shared" si="0"/>
        <v>2565</v>
      </c>
    </row>
    <row r="56" spans="1:7">
      <c r="A56" s="35">
        <v>46053</v>
      </c>
      <c r="B56" s="34" t="s">
        <v>56</v>
      </c>
      <c r="C56" s="34" t="s">
        <v>143</v>
      </c>
      <c r="D56" s="34" t="s">
        <v>174</v>
      </c>
      <c r="E56" s="34">
        <v>2</v>
      </c>
      <c r="F56" s="37">
        <v>95</v>
      </c>
      <c r="G56" s="37">
        <f t="shared" si="0"/>
        <v>190</v>
      </c>
    </row>
    <row r="57" spans="1:7">
      <c r="A57" s="35">
        <v>46053</v>
      </c>
      <c r="B57" s="34" t="s">
        <v>56</v>
      </c>
      <c r="C57" s="34" t="s">
        <v>143</v>
      </c>
      <c r="D57" s="43" t="s">
        <v>175</v>
      </c>
      <c r="E57" s="34">
        <v>4</v>
      </c>
      <c r="F57" s="37">
        <v>95</v>
      </c>
      <c r="G57" s="37">
        <f t="shared" si="0"/>
        <v>380</v>
      </c>
    </row>
    <row r="58" spans="1:7">
      <c r="A58" s="35">
        <v>46053</v>
      </c>
      <c r="B58" s="34" t="s">
        <v>60</v>
      </c>
      <c r="C58" s="34" t="s">
        <v>139</v>
      </c>
      <c r="D58" s="34" t="s">
        <v>172</v>
      </c>
      <c r="E58" s="34">
        <v>220</v>
      </c>
      <c r="F58" s="37">
        <v>18</v>
      </c>
      <c r="G58" s="37">
        <f t="shared" si="0"/>
        <v>3960</v>
      </c>
    </row>
    <row r="59" spans="1:7">
      <c r="A59" s="35">
        <v>46053</v>
      </c>
      <c r="B59" s="34" t="s">
        <v>60</v>
      </c>
      <c r="C59" s="34" t="s">
        <v>139</v>
      </c>
      <c r="D59" s="34" t="s">
        <v>174</v>
      </c>
      <c r="E59" s="34">
        <v>8</v>
      </c>
      <c r="F59" s="37">
        <v>18</v>
      </c>
      <c r="G59" s="37">
        <f t="shared" si="0"/>
        <v>144</v>
      </c>
    </row>
    <row r="60" spans="1:7">
      <c r="A60" s="35">
        <v>46053</v>
      </c>
      <c r="B60" s="34" t="s">
        <v>60</v>
      </c>
      <c r="C60" s="34" t="s">
        <v>139</v>
      </c>
      <c r="D60" s="34" t="s">
        <v>175</v>
      </c>
      <c r="E60" s="34">
        <v>5</v>
      </c>
      <c r="F60" s="37">
        <v>18</v>
      </c>
      <c r="G60" s="37">
        <f t="shared" si="0"/>
        <v>90</v>
      </c>
    </row>
    <row r="61" spans="1:7">
      <c r="A61" s="35">
        <v>46053</v>
      </c>
      <c r="B61" s="34" t="s">
        <v>60</v>
      </c>
      <c r="C61" s="34" t="s">
        <v>143</v>
      </c>
      <c r="D61" s="34" t="s">
        <v>172</v>
      </c>
      <c r="E61" s="34">
        <v>40</v>
      </c>
      <c r="F61" s="37">
        <v>18</v>
      </c>
      <c r="G61" s="37">
        <f t="shared" si="0"/>
        <v>720</v>
      </c>
    </row>
    <row r="62" spans="1:7">
      <c r="A62" s="35">
        <v>46053</v>
      </c>
      <c r="B62" s="34" t="s">
        <v>60</v>
      </c>
      <c r="C62" s="34" t="s">
        <v>143</v>
      </c>
      <c r="D62" s="34" t="s">
        <v>174</v>
      </c>
      <c r="E62" s="34">
        <v>5</v>
      </c>
      <c r="F62" s="37">
        <v>18</v>
      </c>
      <c r="G62" s="37">
        <f t="shared" si="0"/>
        <v>90</v>
      </c>
    </row>
    <row r="63" spans="1:7">
      <c r="A63" s="35">
        <v>46053</v>
      </c>
      <c r="B63" s="34" t="s">
        <v>60</v>
      </c>
      <c r="C63" s="34" t="s">
        <v>143</v>
      </c>
      <c r="D63" s="34" t="s">
        <v>175</v>
      </c>
      <c r="E63" s="34">
        <v>1</v>
      </c>
      <c r="F63" s="37">
        <v>18</v>
      </c>
      <c r="G63" s="37">
        <f t="shared" si="0"/>
        <v>18</v>
      </c>
    </row>
    <row r="64" spans="1:7">
      <c r="A64" s="35">
        <v>46053</v>
      </c>
      <c r="B64" s="34" t="s">
        <v>67</v>
      </c>
      <c r="C64" s="34" t="s">
        <v>139</v>
      </c>
      <c r="D64" s="34" t="s">
        <v>172</v>
      </c>
      <c r="E64" s="34">
        <v>19</v>
      </c>
      <c r="F64" s="37">
        <v>145</v>
      </c>
      <c r="G64" s="37">
        <f t="shared" si="0"/>
        <v>2755</v>
      </c>
    </row>
    <row r="65" spans="1:7">
      <c r="A65" s="35">
        <v>46053</v>
      </c>
      <c r="B65" s="34" t="s">
        <v>67</v>
      </c>
      <c r="C65" s="34" t="s">
        <v>139</v>
      </c>
      <c r="D65" s="34" t="s">
        <v>174</v>
      </c>
      <c r="E65" s="34">
        <v>7</v>
      </c>
      <c r="F65" s="37">
        <v>145</v>
      </c>
      <c r="G65" s="37">
        <f t="shared" si="0"/>
        <v>1015</v>
      </c>
    </row>
    <row r="66" spans="1:7">
      <c r="A66" s="35">
        <v>46053</v>
      </c>
      <c r="B66" s="34" t="s">
        <v>67</v>
      </c>
      <c r="C66" s="34" t="s">
        <v>139</v>
      </c>
      <c r="D66" s="34" t="s">
        <v>175</v>
      </c>
      <c r="E66" s="34">
        <v>2</v>
      </c>
      <c r="F66" s="37">
        <v>145</v>
      </c>
      <c r="G66" s="37">
        <f t="shared" si="0"/>
        <v>290</v>
      </c>
    </row>
    <row r="67" spans="1:7">
      <c r="A67" s="35">
        <v>46053</v>
      </c>
      <c r="B67" s="34" t="s">
        <v>67</v>
      </c>
      <c r="C67" s="34" t="s">
        <v>143</v>
      </c>
      <c r="D67" s="34" t="s">
        <v>172</v>
      </c>
      <c r="E67" s="34">
        <v>33</v>
      </c>
      <c r="F67" s="37">
        <v>145</v>
      </c>
      <c r="G67" s="37">
        <f t="shared" si="0"/>
        <v>4785</v>
      </c>
    </row>
    <row r="68" spans="1:7">
      <c r="A68" s="35">
        <v>46053</v>
      </c>
      <c r="B68" s="34" t="s">
        <v>67</v>
      </c>
      <c r="C68" s="34" t="s">
        <v>143</v>
      </c>
      <c r="D68" s="34" t="s">
        <v>174</v>
      </c>
      <c r="E68" s="34">
        <v>3</v>
      </c>
      <c r="F68" s="37">
        <v>145</v>
      </c>
      <c r="G68" s="37">
        <f t="shared" ref="G68:G131" si="1">E68*F68</f>
        <v>435</v>
      </c>
    </row>
    <row r="69" spans="1:7">
      <c r="A69" s="35">
        <v>46053</v>
      </c>
      <c r="B69" s="34" t="s">
        <v>67</v>
      </c>
      <c r="C69" s="34" t="s">
        <v>143</v>
      </c>
      <c r="D69" s="34" t="s">
        <v>175</v>
      </c>
      <c r="E69" s="34">
        <v>7</v>
      </c>
      <c r="F69" s="37">
        <v>145</v>
      </c>
      <c r="G69" s="37">
        <f t="shared" si="1"/>
        <v>1015</v>
      </c>
    </row>
    <row r="70" spans="1:7">
      <c r="A70" s="35">
        <v>46053</v>
      </c>
      <c r="B70" s="34" t="s">
        <v>70</v>
      </c>
      <c r="C70" s="34" t="s">
        <v>139</v>
      </c>
      <c r="D70" s="34" t="s">
        <v>172</v>
      </c>
      <c r="E70" s="34">
        <v>38</v>
      </c>
      <c r="F70" s="37">
        <v>310</v>
      </c>
      <c r="G70" s="37">
        <f t="shared" si="1"/>
        <v>11780</v>
      </c>
    </row>
    <row r="71" spans="1:7">
      <c r="A71" s="35">
        <v>46053</v>
      </c>
      <c r="B71" s="34" t="s">
        <v>70</v>
      </c>
      <c r="C71" s="34" t="s">
        <v>139</v>
      </c>
      <c r="D71" s="34" t="s">
        <v>174</v>
      </c>
      <c r="E71" s="34">
        <v>1</v>
      </c>
      <c r="F71" s="37">
        <v>310</v>
      </c>
      <c r="G71" s="37">
        <f t="shared" si="1"/>
        <v>310</v>
      </c>
    </row>
    <row r="72" spans="1:7">
      <c r="A72" s="35">
        <v>46053</v>
      </c>
      <c r="B72" s="34" t="s">
        <v>70</v>
      </c>
      <c r="C72" s="34" t="s">
        <v>139</v>
      </c>
      <c r="D72" s="34" t="s">
        <v>175</v>
      </c>
      <c r="E72" s="34">
        <v>1</v>
      </c>
      <c r="F72" s="37">
        <v>310</v>
      </c>
      <c r="G72" s="37">
        <f t="shared" si="1"/>
        <v>310</v>
      </c>
    </row>
    <row r="73" spans="1:7">
      <c r="A73" s="35">
        <v>46053</v>
      </c>
      <c r="B73" s="34" t="s">
        <v>70</v>
      </c>
      <c r="C73" s="34" t="s">
        <v>143</v>
      </c>
      <c r="D73" s="34" t="s">
        <v>172</v>
      </c>
      <c r="E73" s="34">
        <v>32</v>
      </c>
      <c r="F73" s="37">
        <v>310</v>
      </c>
      <c r="G73" s="37">
        <f t="shared" si="1"/>
        <v>9920</v>
      </c>
    </row>
    <row r="74" spans="1:7">
      <c r="A74" s="35">
        <v>46053</v>
      </c>
      <c r="B74" s="34" t="s">
        <v>70</v>
      </c>
      <c r="C74" s="34" t="s">
        <v>143</v>
      </c>
      <c r="D74" s="34" t="s">
        <v>174</v>
      </c>
      <c r="E74" s="34">
        <v>6</v>
      </c>
      <c r="F74" s="37">
        <v>310</v>
      </c>
      <c r="G74" s="37">
        <f t="shared" si="1"/>
        <v>1860</v>
      </c>
    </row>
    <row r="75" spans="1:7">
      <c r="A75" s="35">
        <v>46053</v>
      </c>
      <c r="B75" s="34" t="s">
        <v>70</v>
      </c>
      <c r="C75" s="34" t="s">
        <v>143</v>
      </c>
      <c r="D75" s="34" t="s">
        <v>175</v>
      </c>
      <c r="E75" s="34">
        <v>5</v>
      </c>
      <c r="F75" s="37">
        <v>310</v>
      </c>
      <c r="G75" s="37">
        <f t="shared" si="1"/>
        <v>1550</v>
      </c>
    </row>
    <row r="76" spans="1:7">
      <c r="A76" s="35">
        <v>46053</v>
      </c>
      <c r="B76" s="34" t="s">
        <v>73</v>
      </c>
      <c r="C76" s="34" t="s">
        <v>139</v>
      </c>
      <c r="D76" s="34" t="s">
        <v>172</v>
      </c>
      <c r="E76" s="34">
        <v>43</v>
      </c>
      <c r="F76" s="37">
        <v>28</v>
      </c>
      <c r="G76" s="37">
        <f t="shared" si="1"/>
        <v>1204</v>
      </c>
    </row>
    <row r="77" spans="1:7">
      <c r="A77" s="35">
        <v>46053</v>
      </c>
      <c r="B77" s="34" t="s">
        <v>73</v>
      </c>
      <c r="C77" s="34" t="s">
        <v>139</v>
      </c>
      <c r="D77" s="34" t="s">
        <v>174</v>
      </c>
      <c r="E77" s="34">
        <v>8</v>
      </c>
      <c r="F77" s="37">
        <v>28</v>
      </c>
      <c r="G77" s="37">
        <f t="shared" si="1"/>
        <v>224</v>
      </c>
    </row>
    <row r="78" spans="1:7">
      <c r="A78" s="35">
        <v>46053</v>
      </c>
      <c r="B78" s="34" t="s">
        <v>73</v>
      </c>
      <c r="C78" s="34" t="s">
        <v>139</v>
      </c>
      <c r="D78" s="34" t="s">
        <v>175</v>
      </c>
      <c r="E78" s="34">
        <v>1</v>
      </c>
      <c r="F78" s="37">
        <v>28</v>
      </c>
      <c r="G78" s="37">
        <f t="shared" si="1"/>
        <v>28</v>
      </c>
    </row>
    <row r="79" spans="1:7">
      <c r="A79" s="35">
        <v>46053</v>
      </c>
      <c r="B79" s="34" t="s">
        <v>73</v>
      </c>
      <c r="C79" s="34" t="s">
        <v>143</v>
      </c>
      <c r="D79" s="34" t="s">
        <v>172</v>
      </c>
      <c r="E79" s="34">
        <v>17</v>
      </c>
      <c r="F79" s="37">
        <v>28</v>
      </c>
      <c r="G79" s="37">
        <f t="shared" si="1"/>
        <v>476</v>
      </c>
    </row>
    <row r="80" spans="1:7">
      <c r="A80" s="35">
        <v>46053</v>
      </c>
      <c r="B80" s="34" t="s">
        <v>73</v>
      </c>
      <c r="C80" s="34" t="s">
        <v>143</v>
      </c>
      <c r="D80" s="34" t="s">
        <v>174</v>
      </c>
      <c r="E80" s="34">
        <v>5</v>
      </c>
      <c r="F80" s="37">
        <v>28</v>
      </c>
      <c r="G80" s="37">
        <f t="shared" si="1"/>
        <v>140</v>
      </c>
    </row>
    <row r="81" spans="1:7">
      <c r="A81" s="35">
        <v>46053</v>
      </c>
      <c r="B81" s="34" t="s">
        <v>73</v>
      </c>
      <c r="C81" s="34" t="s">
        <v>143</v>
      </c>
      <c r="D81" s="34" t="s">
        <v>175</v>
      </c>
      <c r="E81" s="34">
        <v>7</v>
      </c>
      <c r="F81" s="37">
        <v>28</v>
      </c>
      <c r="G81" s="37">
        <f t="shared" si="1"/>
        <v>196</v>
      </c>
    </row>
    <row r="82" spans="1:7">
      <c r="A82" s="35">
        <v>46053</v>
      </c>
      <c r="B82" s="34" t="s">
        <v>76</v>
      </c>
      <c r="C82" s="34" t="s">
        <v>139</v>
      </c>
      <c r="D82" s="34" t="s">
        <v>172</v>
      </c>
      <c r="E82" s="34">
        <v>16</v>
      </c>
      <c r="F82" s="37">
        <v>290</v>
      </c>
      <c r="G82" s="37">
        <f t="shared" si="1"/>
        <v>4640</v>
      </c>
    </row>
    <row r="83" spans="1:7">
      <c r="A83" s="35">
        <v>46053</v>
      </c>
      <c r="B83" s="34" t="s">
        <v>76</v>
      </c>
      <c r="C83" s="34" t="s">
        <v>139</v>
      </c>
      <c r="D83" s="34" t="s">
        <v>174</v>
      </c>
      <c r="E83" s="34">
        <v>1</v>
      </c>
      <c r="F83" s="37">
        <v>290</v>
      </c>
      <c r="G83" s="37">
        <f t="shared" si="1"/>
        <v>290</v>
      </c>
    </row>
    <row r="84" spans="1:7">
      <c r="A84" s="35">
        <v>46053</v>
      </c>
      <c r="B84" s="34" t="s">
        <v>76</v>
      </c>
      <c r="C84" s="34" t="s">
        <v>139</v>
      </c>
      <c r="D84" s="34" t="s">
        <v>175</v>
      </c>
      <c r="E84" s="34">
        <v>4</v>
      </c>
      <c r="F84" s="37">
        <v>290</v>
      </c>
      <c r="G84" s="37">
        <f t="shared" si="1"/>
        <v>1160</v>
      </c>
    </row>
    <row r="85" spans="1:7">
      <c r="A85" s="35">
        <v>46053</v>
      </c>
      <c r="B85" s="34" t="s">
        <v>76</v>
      </c>
      <c r="C85" s="34" t="s">
        <v>143</v>
      </c>
      <c r="D85" s="34" t="s">
        <v>172</v>
      </c>
      <c r="E85" s="34">
        <v>40</v>
      </c>
      <c r="F85" s="37">
        <v>290</v>
      </c>
      <c r="G85" s="37">
        <f t="shared" si="1"/>
        <v>11600</v>
      </c>
    </row>
    <row r="86" spans="1:7">
      <c r="A86" s="35">
        <v>46053</v>
      </c>
      <c r="B86" s="34" t="s">
        <v>76</v>
      </c>
      <c r="C86" s="34" t="s">
        <v>143</v>
      </c>
      <c r="D86" s="34" t="s">
        <v>174</v>
      </c>
      <c r="E86" s="34">
        <v>5</v>
      </c>
      <c r="F86" s="37">
        <v>290</v>
      </c>
      <c r="G86" s="37">
        <f t="shared" si="1"/>
        <v>1450</v>
      </c>
    </row>
    <row r="87" spans="1:7">
      <c r="A87" s="35">
        <v>46053</v>
      </c>
      <c r="B87" s="34" t="s">
        <v>76</v>
      </c>
      <c r="C87" s="34" t="s">
        <v>143</v>
      </c>
      <c r="D87" s="34" t="s">
        <v>175</v>
      </c>
      <c r="E87" s="34">
        <v>6</v>
      </c>
      <c r="F87" s="37">
        <v>290</v>
      </c>
      <c r="G87" s="37">
        <f t="shared" si="1"/>
        <v>1740</v>
      </c>
    </row>
    <row r="88" spans="1:7">
      <c r="A88" s="35">
        <v>46053</v>
      </c>
      <c r="B88" s="34" t="s">
        <v>79</v>
      </c>
      <c r="C88" s="34" t="s">
        <v>139</v>
      </c>
      <c r="D88" s="34" t="s">
        <v>172</v>
      </c>
      <c r="E88" s="34">
        <v>520</v>
      </c>
      <c r="F88" s="37">
        <v>4.5</v>
      </c>
      <c r="G88" s="37">
        <f t="shared" si="1"/>
        <v>2340</v>
      </c>
    </row>
    <row r="89" spans="1:7">
      <c r="A89" s="35">
        <v>46053</v>
      </c>
      <c r="B89" s="34" t="s">
        <v>79</v>
      </c>
      <c r="C89" s="34" t="s">
        <v>139</v>
      </c>
      <c r="D89" s="34" t="s">
        <v>174</v>
      </c>
      <c r="E89" s="34">
        <v>1</v>
      </c>
      <c r="F89" s="37">
        <v>4.5</v>
      </c>
      <c r="G89" s="37">
        <f t="shared" si="1"/>
        <v>4.5</v>
      </c>
    </row>
    <row r="90" spans="1:7">
      <c r="A90" s="35">
        <v>46053</v>
      </c>
      <c r="B90" s="34" t="s">
        <v>79</v>
      </c>
      <c r="C90" s="34" t="s">
        <v>139</v>
      </c>
      <c r="D90" s="34" t="s">
        <v>175</v>
      </c>
      <c r="E90" s="34">
        <v>7</v>
      </c>
      <c r="F90" s="37">
        <v>4.5</v>
      </c>
      <c r="G90" s="37">
        <f t="shared" si="1"/>
        <v>31.5</v>
      </c>
    </row>
    <row r="91" spans="1:7">
      <c r="A91" s="35">
        <v>46053</v>
      </c>
      <c r="B91" s="34" t="s">
        <v>79</v>
      </c>
      <c r="C91" s="34" t="s">
        <v>143</v>
      </c>
      <c r="D91" s="34" t="s">
        <v>172</v>
      </c>
      <c r="E91" s="34">
        <v>34</v>
      </c>
      <c r="F91" s="37">
        <v>4.5</v>
      </c>
      <c r="G91" s="37">
        <f t="shared" si="1"/>
        <v>153</v>
      </c>
    </row>
    <row r="92" spans="1:7">
      <c r="A92" s="35">
        <v>46053</v>
      </c>
      <c r="B92" s="34" t="s">
        <v>79</v>
      </c>
      <c r="C92" s="34" t="s">
        <v>143</v>
      </c>
      <c r="D92" s="34" t="s">
        <v>174</v>
      </c>
      <c r="E92" s="34">
        <v>3</v>
      </c>
      <c r="F92" s="37">
        <v>4.5</v>
      </c>
      <c r="G92" s="37">
        <f t="shared" si="1"/>
        <v>13.5</v>
      </c>
    </row>
    <row r="93" spans="1:7">
      <c r="A93" s="35">
        <v>46053</v>
      </c>
      <c r="B93" s="34" t="s">
        <v>79</v>
      </c>
      <c r="C93" s="34" t="s">
        <v>143</v>
      </c>
      <c r="D93" s="34" t="s">
        <v>175</v>
      </c>
      <c r="E93" s="34">
        <v>1</v>
      </c>
      <c r="F93" s="37">
        <v>4.5</v>
      </c>
      <c r="G93" s="37">
        <f t="shared" si="1"/>
        <v>4.5</v>
      </c>
    </row>
    <row r="94" spans="1:7">
      <c r="A94" s="35">
        <v>46081</v>
      </c>
      <c r="B94" s="34" t="s">
        <v>15</v>
      </c>
      <c r="C94" s="34" t="s">
        <v>139</v>
      </c>
      <c r="D94" s="34" t="s">
        <v>172</v>
      </c>
      <c r="E94" s="34">
        <v>6</v>
      </c>
      <c r="F94" s="37">
        <v>640</v>
      </c>
      <c r="G94" s="37">
        <f t="shared" si="1"/>
        <v>3840</v>
      </c>
    </row>
    <row r="95" spans="1:7" ht="12.9" customHeight="1">
      <c r="A95" s="35">
        <v>46081</v>
      </c>
      <c r="B95" s="34" t="s">
        <v>15</v>
      </c>
      <c r="C95" s="34" t="s">
        <v>139</v>
      </c>
      <c r="D95" s="34" t="s">
        <v>173</v>
      </c>
      <c r="E95" s="34">
        <v>14</v>
      </c>
      <c r="F95" s="37">
        <v>640</v>
      </c>
      <c r="G95" s="37">
        <f t="shared" si="1"/>
        <v>8960</v>
      </c>
    </row>
    <row r="96" spans="1:7">
      <c r="A96" s="35">
        <v>46081</v>
      </c>
      <c r="B96" s="34" t="s">
        <v>15</v>
      </c>
      <c r="C96" s="34" t="s">
        <v>139</v>
      </c>
      <c r="D96" s="34" t="s">
        <v>174</v>
      </c>
      <c r="E96" s="34">
        <v>5</v>
      </c>
      <c r="F96" s="37">
        <v>640</v>
      </c>
      <c r="G96" s="37">
        <f t="shared" si="1"/>
        <v>3200</v>
      </c>
    </row>
    <row r="97" spans="1:7">
      <c r="A97" s="35">
        <v>46081</v>
      </c>
      <c r="B97" s="34" t="s">
        <v>15</v>
      </c>
      <c r="C97" s="34" t="s">
        <v>139</v>
      </c>
      <c r="D97" s="34" t="s">
        <v>175</v>
      </c>
      <c r="E97" s="34">
        <v>3</v>
      </c>
      <c r="F97" s="37">
        <v>640</v>
      </c>
      <c r="G97" s="37">
        <f t="shared" si="1"/>
        <v>1920</v>
      </c>
    </row>
    <row r="98" spans="1:7">
      <c r="A98" s="35">
        <v>46081</v>
      </c>
      <c r="B98" s="34" t="s">
        <v>15</v>
      </c>
      <c r="C98" s="34" t="s">
        <v>143</v>
      </c>
      <c r="D98" s="34" t="s">
        <v>172</v>
      </c>
      <c r="E98" s="34">
        <v>35</v>
      </c>
      <c r="F98" s="37">
        <v>640</v>
      </c>
      <c r="G98" s="37">
        <f t="shared" si="1"/>
        <v>22400</v>
      </c>
    </row>
    <row r="99" spans="1:7">
      <c r="A99" s="35">
        <v>46081</v>
      </c>
      <c r="B99" s="34" t="s">
        <v>15</v>
      </c>
      <c r="C99" s="34" t="s">
        <v>143</v>
      </c>
      <c r="D99" s="34" t="s">
        <v>174</v>
      </c>
      <c r="E99" s="34">
        <v>3</v>
      </c>
      <c r="F99" s="37">
        <v>640</v>
      </c>
      <c r="G99" s="37">
        <f t="shared" si="1"/>
        <v>1920</v>
      </c>
    </row>
    <row r="100" spans="1:7">
      <c r="A100" s="35">
        <v>46081</v>
      </c>
      <c r="B100" s="34" t="s">
        <v>15</v>
      </c>
      <c r="C100" s="34" t="s">
        <v>143</v>
      </c>
      <c r="D100" s="34" t="s">
        <v>175</v>
      </c>
      <c r="E100" s="34">
        <v>3</v>
      </c>
      <c r="F100" s="37">
        <v>640</v>
      </c>
      <c r="G100" s="37">
        <f t="shared" si="1"/>
        <v>1920</v>
      </c>
    </row>
    <row r="101" spans="1:7">
      <c r="A101" s="35">
        <v>46081</v>
      </c>
      <c r="B101" s="34" t="s">
        <v>24</v>
      </c>
      <c r="C101" s="34" t="s">
        <v>139</v>
      </c>
      <c r="D101" s="34" t="s">
        <v>172</v>
      </c>
      <c r="E101" s="34">
        <v>16</v>
      </c>
      <c r="F101" s="37">
        <v>82</v>
      </c>
      <c r="G101" s="37">
        <f t="shared" si="1"/>
        <v>1312</v>
      </c>
    </row>
    <row r="102" spans="1:7" ht="12.45" customHeight="1">
      <c r="A102" s="35">
        <v>46081</v>
      </c>
      <c r="B102" s="34" t="s">
        <v>24</v>
      </c>
      <c r="C102" s="34" t="s">
        <v>139</v>
      </c>
      <c r="D102" s="34" t="s">
        <v>173</v>
      </c>
      <c r="E102" s="34">
        <v>14</v>
      </c>
      <c r="F102" s="37">
        <v>82</v>
      </c>
      <c r="G102" s="37">
        <f t="shared" si="1"/>
        <v>1148</v>
      </c>
    </row>
    <row r="103" spans="1:7">
      <c r="A103" s="35">
        <v>46081</v>
      </c>
      <c r="B103" s="34" t="s">
        <v>24</v>
      </c>
      <c r="C103" s="34" t="s">
        <v>139</v>
      </c>
      <c r="D103" s="34" t="s">
        <v>176</v>
      </c>
      <c r="E103" s="34">
        <v>5</v>
      </c>
      <c r="F103" s="37">
        <v>82</v>
      </c>
      <c r="G103" s="37">
        <f t="shared" si="1"/>
        <v>410</v>
      </c>
    </row>
    <row r="104" spans="1:7">
      <c r="A104" s="35">
        <v>46081</v>
      </c>
      <c r="B104" s="34" t="s">
        <v>24</v>
      </c>
      <c r="C104" s="34" t="s">
        <v>139</v>
      </c>
      <c r="D104" s="34" t="s">
        <v>174</v>
      </c>
      <c r="E104" s="34">
        <v>7</v>
      </c>
      <c r="F104" s="37">
        <v>82</v>
      </c>
      <c r="G104" s="37">
        <f t="shared" si="1"/>
        <v>574</v>
      </c>
    </row>
    <row r="105" spans="1:7">
      <c r="A105" s="35">
        <v>46081</v>
      </c>
      <c r="B105" s="34" t="s">
        <v>24</v>
      </c>
      <c r="C105" s="34" t="s">
        <v>139</v>
      </c>
      <c r="D105" s="34" t="s">
        <v>175</v>
      </c>
      <c r="E105" s="34">
        <v>7</v>
      </c>
      <c r="F105" s="37">
        <v>82</v>
      </c>
      <c r="G105" s="37">
        <f t="shared" si="1"/>
        <v>574</v>
      </c>
    </row>
    <row r="106" spans="1:7">
      <c r="A106" s="35">
        <v>46081</v>
      </c>
      <c r="B106" s="34" t="s">
        <v>24</v>
      </c>
      <c r="C106" s="34" t="s">
        <v>143</v>
      </c>
      <c r="D106" s="34" t="s">
        <v>172</v>
      </c>
      <c r="E106" s="34">
        <v>17</v>
      </c>
      <c r="F106" s="37">
        <v>82</v>
      </c>
      <c r="G106" s="37">
        <f t="shared" si="1"/>
        <v>1394</v>
      </c>
    </row>
    <row r="107" spans="1:7">
      <c r="A107" s="35">
        <v>46081</v>
      </c>
      <c r="B107" s="34" t="s">
        <v>24</v>
      </c>
      <c r="C107" s="34" t="s">
        <v>143</v>
      </c>
      <c r="D107" s="34" t="s">
        <v>174</v>
      </c>
      <c r="E107" s="34">
        <v>3</v>
      </c>
      <c r="F107" s="37">
        <v>82</v>
      </c>
      <c r="G107" s="37">
        <f t="shared" si="1"/>
        <v>246</v>
      </c>
    </row>
    <row r="108" spans="1:7">
      <c r="A108" s="35">
        <v>46081</v>
      </c>
      <c r="B108" s="34" t="s">
        <v>24</v>
      </c>
      <c r="C108" s="34" t="s">
        <v>143</v>
      </c>
      <c r="D108" s="34" t="s">
        <v>175</v>
      </c>
      <c r="E108" s="34">
        <v>7</v>
      </c>
      <c r="F108" s="37">
        <v>82</v>
      </c>
      <c r="G108" s="37">
        <f t="shared" si="1"/>
        <v>574</v>
      </c>
    </row>
    <row r="109" spans="1:7">
      <c r="A109" s="35">
        <v>46081</v>
      </c>
      <c r="B109" s="34" t="s">
        <v>29</v>
      </c>
      <c r="C109" s="34" t="s">
        <v>139</v>
      </c>
      <c r="D109" s="34" t="s">
        <v>172</v>
      </c>
      <c r="E109" s="34">
        <v>37</v>
      </c>
      <c r="F109" s="37">
        <v>46</v>
      </c>
      <c r="G109" s="37">
        <f t="shared" si="1"/>
        <v>1702</v>
      </c>
    </row>
    <row r="110" spans="1:7">
      <c r="A110" s="35">
        <v>46081</v>
      </c>
      <c r="B110" s="34" t="s">
        <v>29</v>
      </c>
      <c r="C110" s="34" t="s">
        <v>139</v>
      </c>
      <c r="D110" s="34" t="s">
        <v>174</v>
      </c>
      <c r="E110" s="34">
        <v>5</v>
      </c>
      <c r="F110" s="37">
        <v>46</v>
      </c>
      <c r="G110" s="37">
        <f t="shared" si="1"/>
        <v>230</v>
      </c>
    </row>
    <row r="111" spans="1:7">
      <c r="A111" s="35">
        <v>46081</v>
      </c>
      <c r="B111" s="34" t="s">
        <v>29</v>
      </c>
      <c r="C111" s="34" t="s">
        <v>139</v>
      </c>
      <c r="D111" s="34" t="s">
        <v>175</v>
      </c>
      <c r="E111" s="34">
        <v>2</v>
      </c>
      <c r="F111" s="37">
        <v>46</v>
      </c>
      <c r="G111" s="37">
        <f t="shared" si="1"/>
        <v>92</v>
      </c>
    </row>
    <row r="112" spans="1:7">
      <c r="A112" s="35">
        <v>46081</v>
      </c>
      <c r="B112" s="34" t="s">
        <v>29</v>
      </c>
      <c r="C112" s="34" t="s">
        <v>143</v>
      </c>
      <c r="D112" s="34" t="s">
        <v>172</v>
      </c>
      <c r="E112" s="34">
        <v>39</v>
      </c>
      <c r="F112" s="37">
        <v>46</v>
      </c>
      <c r="G112" s="37">
        <f t="shared" si="1"/>
        <v>1794</v>
      </c>
    </row>
    <row r="113" spans="1:7">
      <c r="A113" s="35">
        <v>46081</v>
      </c>
      <c r="B113" s="34" t="s">
        <v>29</v>
      </c>
      <c r="C113" s="34" t="s">
        <v>143</v>
      </c>
      <c r="D113" s="34" t="s">
        <v>174</v>
      </c>
      <c r="E113" s="34">
        <v>5</v>
      </c>
      <c r="F113" s="37">
        <v>46</v>
      </c>
      <c r="G113" s="37">
        <f t="shared" si="1"/>
        <v>230</v>
      </c>
    </row>
    <row r="114" spans="1:7">
      <c r="A114" s="35">
        <v>46081</v>
      </c>
      <c r="B114" s="34" t="s">
        <v>29</v>
      </c>
      <c r="C114" s="34" t="s">
        <v>143</v>
      </c>
      <c r="D114" s="34" t="s">
        <v>175</v>
      </c>
      <c r="E114" s="34">
        <v>6</v>
      </c>
      <c r="F114" s="37">
        <v>46</v>
      </c>
      <c r="G114" s="37">
        <f t="shared" si="1"/>
        <v>276</v>
      </c>
    </row>
    <row r="115" spans="1:7">
      <c r="A115" s="35">
        <v>46081</v>
      </c>
      <c r="B115" s="34" t="s">
        <v>36</v>
      </c>
      <c r="C115" s="34" t="s">
        <v>139</v>
      </c>
      <c r="D115" s="34" t="s">
        <v>172</v>
      </c>
      <c r="E115" s="34">
        <v>3</v>
      </c>
      <c r="F115" s="37">
        <v>420</v>
      </c>
      <c r="G115" s="37">
        <f t="shared" si="1"/>
        <v>1260</v>
      </c>
    </row>
    <row r="116" spans="1:7">
      <c r="A116" s="35">
        <v>46081</v>
      </c>
      <c r="B116" s="34" t="s">
        <v>36</v>
      </c>
      <c r="C116" s="34" t="s">
        <v>139</v>
      </c>
      <c r="D116" s="34" t="s">
        <v>174</v>
      </c>
      <c r="E116" s="34">
        <v>2</v>
      </c>
      <c r="F116" s="37">
        <v>420</v>
      </c>
      <c r="G116" s="37">
        <f t="shared" si="1"/>
        <v>840</v>
      </c>
    </row>
    <row r="117" spans="1:7">
      <c r="A117" s="35">
        <v>46081</v>
      </c>
      <c r="B117" s="34" t="s">
        <v>36</v>
      </c>
      <c r="C117" s="34" t="s">
        <v>139</v>
      </c>
      <c r="D117" s="34" t="s">
        <v>175</v>
      </c>
      <c r="E117" s="34">
        <v>8</v>
      </c>
      <c r="F117" s="37">
        <v>420</v>
      </c>
      <c r="G117" s="37">
        <f t="shared" si="1"/>
        <v>3360</v>
      </c>
    </row>
    <row r="118" spans="1:7">
      <c r="A118" s="35">
        <v>46081</v>
      </c>
      <c r="B118" s="34" t="s">
        <v>36</v>
      </c>
      <c r="C118" s="34" t="s">
        <v>143</v>
      </c>
      <c r="D118" s="34" t="s">
        <v>172</v>
      </c>
      <c r="E118" s="34">
        <v>21</v>
      </c>
      <c r="F118" s="37">
        <v>420</v>
      </c>
      <c r="G118" s="37">
        <f t="shared" si="1"/>
        <v>8820</v>
      </c>
    </row>
    <row r="119" spans="1:7">
      <c r="A119" s="35">
        <v>46081</v>
      </c>
      <c r="B119" s="34" t="s">
        <v>36</v>
      </c>
      <c r="C119" s="34" t="s">
        <v>143</v>
      </c>
      <c r="D119" s="34" t="s">
        <v>174</v>
      </c>
      <c r="E119" s="34">
        <v>2</v>
      </c>
      <c r="F119" s="37">
        <v>420</v>
      </c>
      <c r="G119" s="37">
        <f t="shared" si="1"/>
        <v>840</v>
      </c>
    </row>
    <row r="120" spans="1:7">
      <c r="A120" s="35">
        <v>46081</v>
      </c>
      <c r="B120" s="34" t="s">
        <v>36</v>
      </c>
      <c r="C120" s="34" t="s">
        <v>143</v>
      </c>
      <c r="D120" s="34" t="s">
        <v>175</v>
      </c>
      <c r="E120" s="34">
        <v>2</v>
      </c>
      <c r="F120" s="37">
        <v>420</v>
      </c>
      <c r="G120" s="37">
        <f t="shared" si="1"/>
        <v>840</v>
      </c>
    </row>
    <row r="121" spans="1:7">
      <c r="A121" s="35">
        <v>46081</v>
      </c>
      <c r="B121" s="34" t="s">
        <v>41</v>
      </c>
      <c r="C121" s="34" t="s">
        <v>139</v>
      </c>
      <c r="D121" s="34" t="s">
        <v>172</v>
      </c>
      <c r="E121" s="34">
        <v>21</v>
      </c>
      <c r="F121" s="37">
        <v>175</v>
      </c>
      <c r="G121" s="37">
        <f t="shared" si="1"/>
        <v>3675</v>
      </c>
    </row>
    <row r="122" spans="1:7">
      <c r="A122" s="35">
        <v>46081</v>
      </c>
      <c r="B122" s="34" t="s">
        <v>41</v>
      </c>
      <c r="C122" s="34" t="s">
        <v>139</v>
      </c>
      <c r="D122" s="34" t="s">
        <v>174</v>
      </c>
      <c r="E122" s="34">
        <v>4</v>
      </c>
      <c r="F122" s="37">
        <v>175</v>
      </c>
      <c r="G122" s="37">
        <f t="shared" si="1"/>
        <v>700</v>
      </c>
    </row>
    <row r="123" spans="1:7">
      <c r="A123" s="35">
        <v>46081</v>
      </c>
      <c r="B123" s="34" t="s">
        <v>41</v>
      </c>
      <c r="C123" s="34" t="s">
        <v>139</v>
      </c>
      <c r="D123" s="34" t="s">
        <v>175</v>
      </c>
      <c r="E123" s="34">
        <v>3</v>
      </c>
      <c r="F123" s="37">
        <v>175</v>
      </c>
      <c r="G123" s="37">
        <f t="shared" si="1"/>
        <v>525</v>
      </c>
    </row>
    <row r="124" spans="1:7">
      <c r="A124" s="35">
        <v>46081</v>
      </c>
      <c r="B124" s="34" t="s">
        <v>41</v>
      </c>
      <c r="C124" s="34" t="s">
        <v>143</v>
      </c>
      <c r="D124" s="34" t="s">
        <v>172</v>
      </c>
      <c r="E124" s="34">
        <v>12</v>
      </c>
      <c r="F124" s="37">
        <v>175</v>
      </c>
      <c r="G124" s="37">
        <f t="shared" si="1"/>
        <v>2100</v>
      </c>
    </row>
    <row r="125" spans="1:7">
      <c r="A125" s="35">
        <v>46081</v>
      </c>
      <c r="B125" s="34" t="s">
        <v>41</v>
      </c>
      <c r="C125" s="34" t="s">
        <v>143</v>
      </c>
      <c r="D125" s="34" t="s">
        <v>174</v>
      </c>
      <c r="E125" s="34">
        <v>8</v>
      </c>
      <c r="F125" s="37">
        <v>175</v>
      </c>
      <c r="G125" s="37">
        <f t="shared" si="1"/>
        <v>1400</v>
      </c>
    </row>
    <row r="126" spans="1:7">
      <c r="A126" s="35">
        <v>46081</v>
      </c>
      <c r="B126" s="34" t="s">
        <v>41</v>
      </c>
      <c r="C126" s="34" t="s">
        <v>143</v>
      </c>
      <c r="D126" s="34" t="s">
        <v>175</v>
      </c>
      <c r="E126" s="34">
        <v>2</v>
      </c>
      <c r="F126" s="37">
        <v>175</v>
      </c>
      <c r="G126" s="37">
        <f t="shared" si="1"/>
        <v>350</v>
      </c>
    </row>
    <row r="127" spans="1:7">
      <c r="A127" s="35">
        <v>46081</v>
      </c>
      <c r="B127" s="34" t="s">
        <v>45</v>
      </c>
      <c r="C127" s="34" t="s">
        <v>139</v>
      </c>
      <c r="D127" s="34" t="s">
        <v>172</v>
      </c>
      <c r="E127" s="34">
        <v>28</v>
      </c>
      <c r="F127" s="37">
        <v>220</v>
      </c>
      <c r="G127" s="37">
        <f t="shared" si="1"/>
        <v>6160</v>
      </c>
    </row>
    <row r="128" spans="1:7">
      <c r="A128" s="35">
        <v>46081</v>
      </c>
      <c r="B128" s="34" t="s">
        <v>45</v>
      </c>
      <c r="C128" s="34" t="s">
        <v>139</v>
      </c>
      <c r="D128" s="34" t="s">
        <v>174</v>
      </c>
      <c r="E128" s="34">
        <v>5</v>
      </c>
      <c r="F128" s="37">
        <v>220</v>
      </c>
      <c r="G128" s="37">
        <f t="shared" si="1"/>
        <v>1100</v>
      </c>
    </row>
    <row r="129" spans="1:7">
      <c r="A129" s="35">
        <v>46081</v>
      </c>
      <c r="B129" s="34" t="s">
        <v>45</v>
      </c>
      <c r="C129" s="34" t="s">
        <v>143</v>
      </c>
      <c r="D129" s="34" t="s">
        <v>172</v>
      </c>
      <c r="E129" s="34">
        <v>21</v>
      </c>
      <c r="F129" s="37">
        <v>220</v>
      </c>
      <c r="G129" s="37">
        <f t="shared" si="1"/>
        <v>4620</v>
      </c>
    </row>
    <row r="130" spans="1:7">
      <c r="A130" s="35">
        <v>46081</v>
      </c>
      <c r="B130" s="34" t="s">
        <v>45</v>
      </c>
      <c r="C130" s="34" t="s">
        <v>143</v>
      </c>
      <c r="D130" s="34" t="s">
        <v>174</v>
      </c>
      <c r="E130" s="34">
        <v>7</v>
      </c>
      <c r="F130" s="37">
        <v>220</v>
      </c>
      <c r="G130" s="37">
        <f t="shared" si="1"/>
        <v>1540</v>
      </c>
    </row>
    <row r="131" spans="1:7">
      <c r="A131" s="35">
        <v>46081</v>
      </c>
      <c r="B131" s="34" t="s">
        <v>45</v>
      </c>
      <c r="C131" s="34" t="s">
        <v>143</v>
      </c>
      <c r="D131" s="34" t="s">
        <v>175</v>
      </c>
      <c r="E131" s="34">
        <v>8</v>
      </c>
      <c r="F131" s="37">
        <v>220</v>
      </c>
      <c r="G131" s="37">
        <f t="shared" si="1"/>
        <v>1760</v>
      </c>
    </row>
    <row r="132" spans="1:7">
      <c r="A132" s="35">
        <v>46081</v>
      </c>
      <c r="B132" s="34" t="s">
        <v>50</v>
      </c>
      <c r="C132" s="34" t="s">
        <v>139</v>
      </c>
      <c r="D132" s="34" t="s">
        <v>172</v>
      </c>
      <c r="E132" s="34">
        <v>35</v>
      </c>
      <c r="F132" s="37">
        <v>135</v>
      </c>
      <c r="G132" s="37">
        <f t="shared" ref="G132:G195" si="2">E132*F132</f>
        <v>4725</v>
      </c>
    </row>
    <row r="133" spans="1:7">
      <c r="A133" s="35">
        <v>46081</v>
      </c>
      <c r="B133" s="34" t="s">
        <v>50</v>
      </c>
      <c r="C133" s="34" t="s">
        <v>139</v>
      </c>
      <c r="D133" s="34" t="s">
        <v>174</v>
      </c>
      <c r="E133" s="34">
        <v>6</v>
      </c>
      <c r="F133" s="37">
        <v>135</v>
      </c>
      <c r="G133" s="37">
        <f t="shared" si="2"/>
        <v>810</v>
      </c>
    </row>
    <row r="134" spans="1:7">
      <c r="A134" s="35">
        <v>46081</v>
      </c>
      <c r="B134" s="34" t="s">
        <v>50</v>
      </c>
      <c r="C134" s="34" t="s">
        <v>139</v>
      </c>
      <c r="D134" s="34" t="s">
        <v>175</v>
      </c>
      <c r="E134" s="34">
        <v>2</v>
      </c>
      <c r="F134" s="37">
        <v>135</v>
      </c>
      <c r="G134" s="37">
        <f t="shared" si="2"/>
        <v>270</v>
      </c>
    </row>
    <row r="135" spans="1:7">
      <c r="A135" s="35">
        <v>46081</v>
      </c>
      <c r="B135" s="34" t="s">
        <v>50</v>
      </c>
      <c r="C135" s="34" t="s">
        <v>143</v>
      </c>
      <c r="D135" s="34" t="s">
        <v>172</v>
      </c>
      <c r="E135" s="34">
        <v>44</v>
      </c>
      <c r="F135" s="37">
        <v>135</v>
      </c>
      <c r="G135" s="37">
        <f t="shared" si="2"/>
        <v>5940</v>
      </c>
    </row>
    <row r="136" spans="1:7">
      <c r="A136" s="35">
        <v>46081</v>
      </c>
      <c r="B136" s="34" t="s">
        <v>50</v>
      </c>
      <c r="C136" s="34" t="s">
        <v>143</v>
      </c>
      <c r="D136" s="34" t="s">
        <v>174</v>
      </c>
      <c r="E136" s="34">
        <v>1</v>
      </c>
      <c r="F136" s="37">
        <v>135</v>
      </c>
      <c r="G136" s="37">
        <f t="shared" si="2"/>
        <v>135</v>
      </c>
    </row>
    <row r="137" spans="1:7">
      <c r="A137" s="35">
        <v>46081</v>
      </c>
      <c r="B137" s="34" t="s">
        <v>50</v>
      </c>
      <c r="C137" s="34" t="s">
        <v>143</v>
      </c>
      <c r="D137" s="34" t="s">
        <v>175</v>
      </c>
      <c r="E137" s="34">
        <v>7</v>
      </c>
      <c r="F137" s="37">
        <v>135</v>
      </c>
      <c r="G137" s="37">
        <f t="shared" si="2"/>
        <v>945</v>
      </c>
    </row>
    <row r="138" spans="1:7">
      <c r="A138" s="35">
        <v>46081</v>
      </c>
      <c r="B138" s="34" t="s">
        <v>53</v>
      </c>
      <c r="C138" s="34" t="s">
        <v>139</v>
      </c>
      <c r="D138" s="34" t="s">
        <v>172</v>
      </c>
      <c r="E138" s="34">
        <v>37</v>
      </c>
      <c r="F138" s="37">
        <v>160</v>
      </c>
      <c r="G138" s="37">
        <f t="shared" si="2"/>
        <v>5920</v>
      </c>
    </row>
    <row r="139" spans="1:7">
      <c r="A139" s="35">
        <v>46081</v>
      </c>
      <c r="B139" s="34" t="s">
        <v>53</v>
      </c>
      <c r="C139" s="34" t="s">
        <v>139</v>
      </c>
      <c r="D139" s="34" t="s">
        <v>174</v>
      </c>
      <c r="E139" s="34">
        <v>7</v>
      </c>
      <c r="F139" s="37">
        <v>160</v>
      </c>
      <c r="G139" s="37">
        <f t="shared" si="2"/>
        <v>1120</v>
      </c>
    </row>
    <row r="140" spans="1:7">
      <c r="A140" s="35">
        <v>46081</v>
      </c>
      <c r="B140" s="34" t="s">
        <v>53</v>
      </c>
      <c r="C140" s="34" t="s">
        <v>139</v>
      </c>
      <c r="D140" s="34" t="s">
        <v>175</v>
      </c>
      <c r="E140" s="34">
        <v>6</v>
      </c>
      <c r="F140" s="37">
        <v>160</v>
      </c>
      <c r="G140" s="37">
        <f t="shared" si="2"/>
        <v>960</v>
      </c>
    </row>
    <row r="141" spans="1:7">
      <c r="A141" s="35">
        <v>46081</v>
      </c>
      <c r="B141" s="34" t="s">
        <v>53</v>
      </c>
      <c r="C141" s="34" t="s">
        <v>143</v>
      </c>
      <c r="D141" s="34" t="s">
        <v>172</v>
      </c>
      <c r="E141" s="34">
        <v>37</v>
      </c>
      <c r="F141" s="37">
        <v>160</v>
      </c>
      <c r="G141" s="37">
        <f t="shared" si="2"/>
        <v>5920</v>
      </c>
    </row>
    <row r="142" spans="1:7">
      <c r="A142" s="35">
        <v>46081</v>
      </c>
      <c r="B142" s="34" t="s">
        <v>53</v>
      </c>
      <c r="C142" s="34" t="s">
        <v>143</v>
      </c>
      <c r="D142" s="34" t="s">
        <v>174</v>
      </c>
      <c r="E142" s="34">
        <v>2</v>
      </c>
      <c r="F142" s="37">
        <v>160</v>
      </c>
      <c r="G142" s="37">
        <f t="shared" si="2"/>
        <v>320</v>
      </c>
    </row>
    <row r="143" spans="1:7">
      <c r="A143" s="35">
        <v>46081</v>
      </c>
      <c r="B143" s="34" t="s">
        <v>53</v>
      </c>
      <c r="C143" s="34" t="s">
        <v>143</v>
      </c>
      <c r="D143" s="34" t="s">
        <v>175</v>
      </c>
      <c r="E143" s="34">
        <v>7</v>
      </c>
      <c r="F143" s="37">
        <v>160</v>
      </c>
      <c r="G143" s="37">
        <f t="shared" si="2"/>
        <v>1120</v>
      </c>
    </row>
    <row r="144" spans="1:7">
      <c r="A144" s="35">
        <v>46081</v>
      </c>
      <c r="B144" s="34" t="s">
        <v>56</v>
      </c>
      <c r="C144" s="34" t="s">
        <v>139</v>
      </c>
      <c r="D144" s="34" t="s">
        <v>172</v>
      </c>
      <c r="E144" s="34">
        <v>37</v>
      </c>
      <c r="F144" s="37">
        <v>95</v>
      </c>
      <c r="G144" s="37">
        <f t="shared" si="2"/>
        <v>3515</v>
      </c>
    </row>
    <row r="145" spans="1:7">
      <c r="A145" s="35">
        <v>46081</v>
      </c>
      <c r="B145" s="34" t="s">
        <v>56</v>
      </c>
      <c r="C145" s="34" t="s">
        <v>139</v>
      </c>
      <c r="D145" s="34" t="s">
        <v>174</v>
      </c>
      <c r="E145" s="34">
        <v>1</v>
      </c>
      <c r="F145" s="37">
        <v>95</v>
      </c>
      <c r="G145" s="37">
        <f t="shared" si="2"/>
        <v>95</v>
      </c>
    </row>
    <row r="146" spans="1:7">
      <c r="A146" s="35">
        <v>46081</v>
      </c>
      <c r="B146" s="34" t="s">
        <v>56</v>
      </c>
      <c r="C146" s="34" t="s">
        <v>139</v>
      </c>
      <c r="D146" s="34" t="s">
        <v>175</v>
      </c>
      <c r="E146" s="34">
        <v>3</v>
      </c>
      <c r="F146" s="37">
        <v>95</v>
      </c>
      <c r="G146" s="37">
        <f t="shared" si="2"/>
        <v>285</v>
      </c>
    </row>
    <row r="147" spans="1:7">
      <c r="A147" s="35">
        <v>46081</v>
      </c>
      <c r="B147" s="34" t="s">
        <v>56</v>
      </c>
      <c r="C147" s="34" t="s">
        <v>143</v>
      </c>
      <c r="D147" s="34" t="s">
        <v>172</v>
      </c>
      <c r="E147" s="34">
        <v>16</v>
      </c>
      <c r="F147" s="37">
        <v>95</v>
      </c>
      <c r="G147" s="37">
        <f t="shared" si="2"/>
        <v>1520</v>
      </c>
    </row>
    <row r="148" spans="1:7">
      <c r="A148" s="35">
        <v>46081</v>
      </c>
      <c r="B148" s="34" t="s">
        <v>56</v>
      </c>
      <c r="C148" s="34" t="s">
        <v>143</v>
      </c>
      <c r="D148" s="34" t="s">
        <v>174</v>
      </c>
      <c r="E148" s="34">
        <v>4</v>
      </c>
      <c r="F148" s="37">
        <v>95</v>
      </c>
      <c r="G148" s="37">
        <f t="shared" si="2"/>
        <v>380</v>
      </c>
    </row>
    <row r="149" spans="1:7">
      <c r="A149" s="35">
        <v>46081</v>
      </c>
      <c r="B149" s="34" t="s">
        <v>56</v>
      </c>
      <c r="C149" s="34" t="s">
        <v>143</v>
      </c>
      <c r="D149" s="34" t="s">
        <v>175</v>
      </c>
      <c r="E149" s="34">
        <v>7</v>
      </c>
      <c r="F149" s="37">
        <v>95</v>
      </c>
      <c r="G149" s="37">
        <f t="shared" si="2"/>
        <v>665</v>
      </c>
    </row>
    <row r="150" spans="1:7">
      <c r="A150" s="35">
        <v>46081</v>
      </c>
      <c r="B150" s="34" t="s">
        <v>60</v>
      </c>
      <c r="C150" s="34" t="s">
        <v>139</v>
      </c>
      <c r="D150" s="34" t="s">
        <v>172</v>
      </c>
      <c r="E150" s="34">
        <v>245</v>
      </c>
      <c r="F150" s="37">
        <v>18</v>
      </c>
      <c r="G150" s="37">
        <f t="shared" si="2"/>
        <v>4410</v>
      </c>
    </row>
    <row r="151" spans="1:7">
      <c r="A151" s="35">
        <v>46081</v>
      </c>
      <c r="B151" s="34" t="s">
        <v>60</v>
      </c>
      <c r="C151" s="34" t="s">
        <v>139</v>
      </c>
      <c r="D151" s="34" t="s">
        <v>174</v>
      </c>
      <c r="E151" s="34">
        <v>2</v>
      </c>
      <c r="F151" s="37">
        <v>18</v>
      </c>
      <c r="G151" s="37">
        <f t="shared" si="2"/>
        <v>36</v>
      </c>
    </row>
    <row r="152" spans="1:7">
      <c r="A152" s="35">
        <v>46081</v>
      </c>
      <c r="B152" s="34" t="s">
        <v>60</v>
      </c>
      <c r="C152" s="34" t="s">
        <v>139</v>
      </c>
      <c r="D152" s="34" t="s">
        <v>175</v>
      </c>
      <c r="E152" s="34">
        <v>5</v>
      </c>
      <c r="F152" s="37">
        <v>18</v>
      </c>
      <c r="G152" s="37">
        <f t="shared" si="2"/>
        <v>90</v>
      </c>
    </row>
    <row r="153" spans="1:7">
      <c r="A153" s="35">
        <v>46081</v>
      </c>
      <c r="B153" s="34" t="s">
        <v>60</v>
      </c>
      <c r="C153" s="34" t="s">
        <v>143</v>
      </c>
      <c r="D153" s="34" t="s">
        <v>172</v>
      </c>
      <c r="E153" s="34">
        <v>15</v>
      </c>
      <c r="F153" s="37">
        <v>18</v>
      </c>
      <c r="G153" s="37">
        <f t="shared" si="2"/>
        <v>270</v>
      </c>
    </row>
    <row r="154" spans="1:7">
      <c r="A154" s="35">
        <v>46081</v>
      </c>
      <c r="B154" s="34" t="s">
        <v>60</v>
      </c>
      <c r="C154" s="34" t="s">
        <v>143</v>
      </c>
      <c r="D154" s="34" t="s">
        <v>174</v>
      </c>
      <c r="E154" s="34">
        <v>2</v>
      </c>
      <c r="F154" s="37">
        <v>18</v>
      </c>
      <c r="G154" s="37">
        <f t="shared" si="2"/>
        <v>36</v>
      </c>
    </row>
    <row r="155" spans="1:7">
      <c r="A155" s="35">
        <v>46081</v>
      </c>
      <c r="B155" s="34" t="s">
        <v>67</v>
      </c>
      <c r="C155" s="34" t="s">
        <v>139</v>
      </c>
      <c r="D155" s="34" t="s">
        <v>172</v>
      </c>
      <c r="E155" s="34">
        <v>21</v>
      </c>
      <c r="F155" s="37">
        <v>145</v>
      </c>
      <c r="G155" s="37">
        <f t="shared" si="2"/>
        <v>3045</v>
      </c>
    </row>
    <row r="156" spans="1:7">
      <c r="A156" s="35">
        <v>46081</v>
      </c>
      <c r="B156" s="34" t="s">
        <v>67</v>
      </c>
      <c r="C156" s="34" t="s">
        <v>139</v>
      </c>
      <c r="D156" s="34" t="s">
        <v>174</v>
      </c>
      <c r="E156" s="34">
        <v>2</v>
      </c>
      <c r="F156" s="37">
        <v>145</v>
      </c>
      <c r="G156" s="37">
        <f t="shared" si="2"/>
        <v>290</v>
      </c>
    </row>
    <row r="157" spans="1:7">
      <c r="A157" s="35">
        <v>46081</v>
      </c>
      <c r="B157" s="34" t="s">
        <v>67</v>
      </c>
      <c r="C157" s="34" t="s">
        <v>139</v>
      </c>
      <c r="D157" s="34" t="s">
        <v>175</v>
      </c>
      <c r="E157" s="34">
        <v>5</v>
      </c>
      <c r="F157" s="37">
        <v>145</v>
      </c>
      <c r="G157" s="37">
        <f t="shared" si="2"/>
        <v>725</v>
      </c>
    </row>
    <row r="158" spans="1:7">
      <c r="A158" s="35">
        <v>46081</v>
      </c>
      <c r="B158" s="34" t="s">
        <v>67</v>
      </c>
      <c r="C158" s="34" t="s">
        <v>143</v>
      </c>
      <c r="D158" s="34" t="s">
        <v>172</v>
      </c>
      <c r="E158" s="34">
        <v>13</v>
      </c>
      <c r="F158" s="37">
        <v>145</v>
      </c>
      <c r="G158" s="37">
        <f t="shared" si="2"/>
        <v>1885</v>
      </c>
    </row>
    <row r="159" spans="1:7">
      <c r="A159" s="35">
        <v>46081</v>
      </c>
      <c r="B159" s="34" t="s">
        <v>67</v>
      </c>
      <c r="C159" s="34" t="s">
        <v>143</v>
      </c>
      <c r="D159" s="34" t="s">
        <v>174</v>
      </c>
      <c r="E159" s="34">
        <v>2</v>
      </c>
      <c r="F159" s="37">
        <v>145</v>
      </c>
      <c r="G159" s="37">
        <f t="shared" si="2"/>
        <v>290</v>
      </c>
    </row>
    <row r="160" spans="1:7">
      <c r="A160" s="35">
        <v>46081</v>
      </c>
      <c r="B160" s="34" t="s">
        <v>67</v>
      </c>
      <c r="C160" s="34" t="s">
        <v>143</v>
      </c>
      <c r="D160" s="34" t="s">
        <v>175</v>
      </c>
      <c r="E160" s="34">
        <v>3</v>
      </c>
      <c r="F160" s="37">
        <v>145</v>
      </c>
      <c r="G160" s="37">
        <f t="shared" si="2"/>
        <v>435</v>
      </c>
    </row>
    <row r="161" spans="1:7">
      <c r="A161" s="35">
        <v>46081</v>
      </c>
      <c r="B161" s="34" t="s">
        <v>70</v>
      </c>
      <c r="C161" s="34" t="s">
        <v>139</v>
      </c>
      <c r="D161" s="34" t="s">
        <v>172</v>
      </c>
      <c r="E161" s="34">
        <v>36</v>
      </c>
      <c r="F161" s="37">
        <v>310</v>
      </c>
      <c r="G161" s="37">
        <f t="shared" si="2"/>
        <v>11160</v>
      </c>
    </row>
    <row r="162" spans="1:7">
      <c r="A162" s="35">
        <v>46081</v>
      </c>
      <c r="B162" s="34" t="s">
        <v>70</v>
      </c>
      <c r="C162" s="34" t="s">
        <v>139</v>
      </c>
      <c r="D162" s="34" t="s">
        <v>174</v>
      </c>
      <c r="E162" s="34">
        <v>3</v>
      </c>
      <c r="F162" s="37">
        <v>310</v>
      </c>
      <c r="G162" s="37">
        <f t="shared" si="2"/>
        <v>930</v>
      </c>
    </row>
    <row r="163" spans="1:7">
      <c r="A163" s="35">
        <v>46081</v>
      </c>
      <c r="B163" s="34" t="s">
        <v>70</v>
      </c>
      <c r="C163" s="34" t="s">
        <v>139</v>
      </c>
      <c r="D163" s="34" t="s">
        <v>175</v>
      </c>
      <c r="E163" s="34">
        <v>4</v>
      </c>
      <c r="F163" s="37">
        <v>310</v>
      </c>
      <c r="G163" s="37">
        <f t="shared" si="2"/>
        <v>1240</v>
      </c>
    </row>
    <row r="164" spans="1:7">
      <c r="A164" s="35">
        <v>46081</v>
      </c>
      <c r="B164" s="34" t="s">
        <v>70</v>
      </c>
      <c r="C164" s="34" t="s">
        <v>143</v>
      </c>
      <c r="D164" s="34" t="s">
        <v>172</v>
      </c>
      <c r="E164" s="34">
        <v>34</v>
      </c>
      <c r="F164" s="37">
        <v>310</v>
      </c>
      <c r="G164" s="37">
        <f t="shared" si="2"/>
        <v>10540</v>
      </c>
    </row>
    <row r="165" spans="1:7">
      <c r="A165" s="35">
        <v>46081</v>
      </c>
      <c r="B165" s="34" t="s">
        <v>70</v>
      </c>
      <c r="C165" s="34" t="s">
        <v>143</v>
      </c>
      <c r="D165" s="34" t="s">
        <v>174</v>
      </c>
      <c r="E165" s="34">
        <v>6</v>
      </c>
      <c r="F165" s="37">
        <v>310</v>
      </c>
      <c r="G165" s="37">
        <f t="shared" si="2"/>
        <v>1860</v>
      </c>
    </row>
    <row r="166" spans="1:7">
      <c r="A166" s="35">
        <v>46081</v>
      </c>
      <c r="B166" s="34" t="s">
        <v>70</v>
      </c>
      <c r="C166" s="34" t="s">
        <v>143</v>
      </c>
      <c r="D166" s="34" t="s">
        <v>175</v>
      </c>
      <c r="E166" s="34">
        <v>7</v>
      </c>
      <c r="F166" s="37">
        <v>310</v>
      </c>
      <c r="G166" s="37">
        <f t="shared" si="2"/>
        <v>2170</v>
      </c>
    </row>
    <row r="167" spans="1:7">
      <c r="A167" s="35">
        <v>46081</v>
      </c>
      <c r="B167" s="34" t="s">
        <v>73</v>
      </c>
      <c r="C167" s="34" t="s">
        <v>139</v>
      </c>
      <c r="D167" s="34" t="s">
        <v>172</v>
      </c>
      <c r="E167" s="34">
        <v>19</v>
      </c>
      <c r="F167" s="37">
        <v>28</v>
      </c>
      <c r="G167" s="37">
        <f t="shared" si="2"/>
        <v>532</v>
      </c>
    </row>
    <row r="168" spans="1:7">
      <c r="A168" s="35">
        <v>46081</v>
      </c>
      <c r="B168" s="34" t="s">
        <v>73</v>
      </c>
      <c r="C168" s="34" t="s">
        <v>139</v>
      </c>
      <c r="D168" s="34" t="s">
        <v>174</v>
      </c>
      <c r="E168" s="34">
        <v>2</v>
      </c>
      <c r="F168" s="37">
        <v>28</v>
      </c>
      <c r="G168" s="37">
        <f t="shared" si="2"/>
        <v>56</v>
      </c>
    </row>
    <row r="169" spans="1:7">
      <c r="A169" s="35">
        <v>46081</v>
      </c>
      <c r="B169" s="34" t="s">
        <v>73</v>
      </c>
      <c r="C169" s="34" t="s">
        <v>139</v>
      </c>
      <c r="D169" s="34" t="s">
        <v>175</v>
      </c>
      <c r="E169" s="34">
        <v>7</v>
      </c>
      <c r="F169" s="37">
        <v>28</v>
      </c>
      <c r="G169" s="37">
        <f t="shared" si="2"/>
        <v>196</v>
      </c>
    </row>
    <row r="170" spans="1:7">
      <c r="A170" s="35">
        <v>46081</v>
      </c>
      <c r="B170" s="34" t="s">
        <v>73</v>
      </c>
      <c r="C170" s="34" t="s">
        <v>143</v>
      </c>
      <c r="D170" s="34" t="s">
        <v>172</v>
      </c>
      <c r="E170" s="34">
        <v>41</v>
      </c>
      <c r="F170" s="37">
        <v>28</v>
      </c>
      <c r="G170" s="37">
        <f t="shared" si="2"/>
        <v>1148</v>
      </c>
    </row>
    <row r="171" spans="1:7">
      <c r="A171" s="35">
        <v>46081</v>
      </c>
      <c r="B171" s="34" t="s">
        <v>73</v>
      </c>
      <c r="C171" s="34" t="s">
        <v>143</v>
      </c>
      <c r="D171" s="34" t="s">
        <v>174</v>
      </c>
      <c r="E171" s="34">
        <v>8</v>
      </c>
      <c r="F171" s="37">
        <v>28</v>
      </c>
      <c r="G171" s="37">
        <f t="shared" si="2"/>
        <v>224</v>
      </c>
    </row>
    <row r="172" spans="1:7">
      <c r="A172" s="35">
        <v>46081</v>
      </c>
      <c r="B172" s="34" t="s">
        <v>73</v>
      </c>
      <c r="C172" s="34" t="s">
        <v>143</v>
      </c>
      <c r="D172" s="34" t="s">
        <v>175</v>
      </c>
      <c r="E172" s="34">
        <v>7</v>
      </c>
      <c r="F172" s="37">
        <v>28</v>
      </c>
      <c r="G172" s="37">
        <f t="shared" si="2"/>
        <v>196</v>
      </c>
    </row>
    <row r="173" spans="1:7">
      <c r="A173" s="35">
        <v>46081</v>
      </c>
      <c r="B173" s="34" t="s">
        <v>76</v>
      </c>
      <c r="C173" s="34" t="s">
        <v>139</v>
      </c>
      <c r="D173" s="34" t="s">
        <v>172</v>
      </c>
      <c r="E173" s="34">
        <v>31</v>
      </c>
      <c r="F173" s="37">
        <v>290</v>
      </c>
      <c r="G173" s="37">
        <f t="shared" si="2"/>
        <v>8990</v>
      </c>
    </row>
    <row r="174" spans="1:7">
      <c r="A174" s="35">
        <v>46081</v>
      </c>
      <c r="B174" s="34" t="s">
        <v>76</v>
      </c>
      <c r="C174" s="34" t="s">
        <v>139</v>
      </c>
      <c r="D174" s="34" t="s">
        <v>174</v>
      </c>
      <c r="E174" s="34">
        <v>2</v>
      </c>
      <c r="F174" s="37">
        <v>290</v>
      </c>
      <c r="G174" s="37">
        <f t="shared" si="2"/>
        <v>580</v>
      </c>
    </row>
    <row r="175" spans="1:7">
      <c r="A175" s="35">
        <v>46081</v>
      </c>
      <c r="B175" s="34" t="s">
        <v>76</v>
      </c>
      <c r="C175" s="34" t="s">
        <v>139</v>
      </c>
      <c r="D175" s="34" t="s">
        <v>175</v>
      </c>
      <c r="E175" s="34">
        <v>2</v>
      </c>
      <c r="F175" s="37">
        <v>290</v>
      </c>
      <c r="G175" s="37">
        <f t="shared" si="2"/>
        <v>580</v>
      </c>
    </row>
    <row r="176" spans="1:7">
      <c r="A176" s="35">
        <v>46081</v>
      </c>
      <c r="B176" s="34" t="s">
        <v>76</v>
      </c>
      <c r="C176" s="34" t="s">
        <v>143</v>
      </c>
      <c r="D176" s="34" t="s">
        <v>172</v>
      </c>
      <c r="E176" s="34">
        <v>18</v>
      </c>
      <c r="F176" s="37">
        <v>290</v>
      </c>
      <c r="G176" s="37">
        <f t="shared" si="2"/>
        <v>5220</v>
      </c>
    </row>
    <row r="177" spans="1:7">
      <c r="A177" s="35">
        <v>46081</v>
      </c>
      <c r="B177" s="34" t="s">
        <v>76</v>
      </c>
      <c r="C177" s="34" t="s">
        <v>143</v>
      </c>
      <c r="D177" s="34" t="s">
        <v>174</v>
      </c>
      <c r="E177" s="34">
        <v>6</v>
      </c>
      <c r="F177" s="37">
        <v>290</v>
      </c>
      <c r="G177" s="37">
        <f t="shared" si="2"/>
        <v>1740</v>
      </c>
    </row>
    <row r="178" spans="1:7">
      <c r="A178" s="35">
        <v>46081</v>
      </c>
      <c r="B178" s="34" t="s">
        <v>76</v>
      </c>
      <c r="C178" s="34" t="s">
        <v>143</v>
      </c>
      <c r="D178" s="34" t="s">
        <v>175</v>
      </c>
      <c r="E178" s="34">
        <v>4</v>
      </c>
      <c r="F178" s="37">
        <v>290</v>
      </c>
      <c r="G178" s="37">
        <f t="shared" si="2"/>
        <v>1160</v>
      </c>
    </row>
    <row r="179" spans="1:7">
      <c r="A179" s="35">
        <v>46081</v>
      </c>
      <c r="B179" s="34" t="s">
        <v>79</v>
      </c>
      <c r="C179" s="34" t="s">
        <v>139</v>
      </c>
      <c r="D179" s="34" t="s">
        <v>172</v>
      </c>
      <c r="E179" s="34">
        <v>560</v>
      </c>
      <c r="F179" s="37">
        <v>4.5</v>
      </c>
      <c r="G179" s="37">
        <f t="shared" si="2"/>
        <v>2520</v>
      </c>
    </row>
    <row r="180" spans="1:7">
      <c r="A180" s="35">
        <v>46081</v>
      </c>
      <c r="B180" s="34" t="s">
        <v>79</v>
      </c>
      <c r="C180" s="34" t="s">
        <v>139</v>
      </c>
      <c r="D180" s="34" t="s">
        <v>174</v>
      </c>
      <c r="E180" s="34">
        <v>3</v>
      </c>
      <c r="F180" s="37">
        <v>4.5</v>
      </c>
      <c r="G180" s="37">
        <f t="shared" si="2"/>
        <v>13.5</v>
      </c>
    </row>
    <row r="181" spans="1:7">
      <c r="A181" s="35">
        <v>46081</v>
      </c>
      <c r="B181" s="34" t="s">
        <v>79</v>
      </c>
      <c r="C181" s="34" t="s">
        <v>139</v>
      </c>
      <c r="D181" s="34" t="s">
        <v>175</v>
      </c>
      <c r="E181" s="34">
        <v>8</v>
      </c>
      <c r="F181" s="37">
        <v>4.5</v>
      </c>
      <c r="G181" s="37">
        <f t="shared" si="2"/>
        <v>36</v>
      </c>
    </row>
    <row r="182" spans="1:7">
      <c r="A182" s="35">
        <v>46081</v>
      </c>
      <c r="B182" s="34" t="s">
        <v>79</v>
      </c>
      <c r="C182" s="34" t="s">
        <v>143</v>
      </c>
      <c r="D182" s="34" t="s">
        <v>172</v>
      </c>
      <c r="E182" s="34">
        <v>13</v>
      </c>
      <c r="F182" s="37">
        <v>4.5</v>
      </c>
      <c r="G182" s="37">
        <f t="shared" si="2"/>
        <v>58.5</v>
      </c>
    </row>
    <row r="183" spans="1:7">
      <c r="A183" s="35">
        <v>46081</v>
      </c>
      <c r="B183" s="34" t="s">
        <v>79</v>
      </c>
      <c r="C183" s="34" t="s">
        <v>143</v>
      </c>
      <c r="D183" s="34" t="s">
        <v>174</v>
      </c>
      <c r="E183" s="34">
        <v>4</v>
      </c>
      <c r="F183" s="37">
        <v>4.5</v>
      </c>
      <c r="G183" s="37">
        <f t="shared" si="2"/>
        <v>18</v>
      </c>
    </row>
    <row r="184" spans="1:7">
      <c r="A184" s="35">
        <v>46081</v>
      </c>
      <c r="B184" s="34" t="s">
        <v>79</v>
      </c>
      <c r="C184" s="34" t="s">
        <v>143</v>
      </c>
      <c r="D184" s="34" t="s">
        <v>175</v>
      </c>
      <c r="E184" s="34">
        <v>8</v>
      </c>
      <c r="F184" s="37">
        <v>4.5</v>
      </c>
      <c r="G184" s="37">
        <f t="shared" si="2"/>
        <v>36</v>
      </c>
    </row>
    <row r="185" spans="1:7">
      <c r="A185" s="35">
        <v>46112</v>
      </c>
      <c r="B185" s="34" t="s">
        <v>15</v>
      </c>
      <c r="C185" s="34" t="s">
        <v>139</v>
      </c>
      <c r="D185" s="34" t="s">
        <v>172</v>
      </c>
      <c r="E185" s="34">
        <v>7</v>
      </c>
      <c r="F185" s="37">
        <v>640</v>
      </c>
      <c r="G185" s="37">
        <f t="shared" si="2"/>
        <v>4480</v>
      </c>
    </row>
    <row r="186" spans="1:7">
      <c r="A186" s="35">
        <v>46112</v>
      </c>
      <c r="B186" s="34" t="s">
        <v>15</v>
      </c>
      <c r="C186" s="34" t="s">
        <v>139</v>
      </c>
      <c r="D186" s="34" t="s">
        <v>173</v>
      </c>
      <c r="E186" s="34">
        <v>11</v>
      </c>
      <c r="F186" s="37">
        <v>640</v>
      </c>
      <c r="G186" s="37">
        <f t="shared" si="2"/>
        <v>7040</v>
      </c>
    </row>
    <row r="187" spans="1:7">
      <c r="A187" s="35">
        <v>46112</v>
      </c>
      <c r="B187" s="34" t="s">
        <v>15</v>
      </c>
      <c r="C187" s="34" t="s">
        <v>139</v>
      </c>
      <c r="D187" s="34" t="s">
        <v>174</v>
      </c>
      <c r="E187" s="34">
        <v>5</v>
      </c>
      <c r="F187" s="37">
        <v>640</v>
      </c>
      <c r="G187" s="37">
        <f t="shared" si="2"/>
        <v>3200</v>
      </c>
    </row>
    <row r="188" spans="1:7">
      <c r="A188" s="35">
        <v>46112</v>
      </c>
      <c r="B188" s="34" t="s">
        <v>15</v>
      </c>
      <c r="C188" s="34" t="s">
        <v>139</v>
      </c>
      <c r="D188" s="34" t="s">
        <v>175</v>
      </c>
      <c r="E188" s="34">
        <v>8</v>
      </c>
      <c r="F188" s="37">
        <v>640</v>
      </c>
      <c r="G188" s="37">
        <f t="shared" si="2"/>
        <v>5120</v>
      </c>
    </row>
    <row r="189" spans="1:7">
      <c r="A189" s="35">
        <v>46112</v>
      </c>
      <c r="B189" s="34" t="s">
        <v>15</v>
      </c>
      <c r="C189" s="34" t="s">
        <v>143</v>
      </c>
      <c r="D189" s="34" t="s">
        <v>172</v>
      </c>
      <c r="E189" s="34">
        <v>30</v>
      </c>
      <c r="F189" s="37">
        <v>640</v>
      </c>
      <c r="G189" s="37">
        <f t="shared" si="2"/>
        <v>19200</v>
      </c>
    </row>
    <row r="190" spans="1:7">
      <c r="A190" s="35">
        <v>46112</v>
      </c>
      <c r="B190" s="34" t="s">
        <v>15</v>
      </c>
      <c r="C190" s="34" t="s">
        <v>143</v>
      </c>
      <c r="D190" s="34" t="s">
        <v>174</v>
      </c>
      <c r="E190" s="34">
        <v>3</v>
      </c>
      <c r="F190" s="37">
        <v>640</v>
      </c>
      <c r="G190" s="37">
        <f t="shared" si="2"/>
        <v>1920</v>
      </c>
    </row>
    <row r="191" spans="1:7">
      <c r="A191" s="35">
        <v>46112</v>
      </c>
      <c r="B191" s="34" t="s">
        <v>15</v>
      </c>
      <c r="C191" s="34" t="s">
        <v>143</v>
      </c>
      <c r="D191" s="34" t="s">
        <v>175</v>
      </c>
      <c r="E191" s="34">
        <v>1</v>
      </c>
      <c r="F191" s="37">
        <v>640</v>
      </c>
      <c r="G191" s="37">
        <f t="shared" si="2"/>
        <v>640</v>
      </c>
    </row>
    <row r="192" spans="1:7">
      <c r="A192" s="35">
        <v>46112</v>
      </c>
      <c r="B192" s="34" t="s">
        <v>24</v>
      </c>
      <c r="C192" s="34" t="s">
        <v>139</v>
      </c>
      <c r="D192" s="34" t="s">
        <v>172</v>
      </c>
      <c r="E192" s="34">
        <v>15</v>
      </c>
      <c r="F192" s="37">
        <v>82</v>
      </c>
      <c r="G192" s="37">
        <f t="shared" si="2"/>
        <v>1230</v>
      </c>
    </row>
    <row r="193" spans="1:7">
      <c r="A193" s="35">
        <v>46112</v>
      </c>
      <c r="B193" s="34" t="s">
        <v>24</v>
      </c>
      <c r="C193" s="34" t="s">
        <v>139</v>
      </c>
      <c r="D193" s="34" t="s">
        <v>173</v>
      </c>
      <c r="E193" s="34">
        <v>12</v>
      </c>
      <c r="F193" s="37">
        <v>82</v>
      </c>
      <c r="G193" s="37">
        <f t="shared" si="2"/>
        <v>984</v>
      </c>
    </row>
    <row r="194" spans="1:7">
      <c r="A194" s="35">
        <v>46112</v>
      </c>
      <c r="B194" s="34" t="s">
        <v>24</v>
      </c>
      <c r="C194" s="34" t="s">
        <v>139</v>
      </c>
      <c r="D194" s="34" t="s">
        <v>176</v>
      </c>
      <c r="E194" s="34">
        <v>4</v>
      </c>
      <c r="F194" s="37">
        <v>82</v>
      </c>
      <c r="G194" s="37">
        <f t="shared" si="2"/>
        <v>328</v>
      </c>
    </row>
    <row r="195" spans="1:7">
      <c r="A195" s="35">
        <v>46112</v>
      </c>
      <c r="B195" s="34" t="s">
        <v>24</v>
      </c>
      <c r="C195" s="34" t="s">
        <v>139</v>
      </c>
      <c r="D195" s="34" t="s">
        <v>174</v>
      </c>
      <c r="E195" s="34">
        <v>6</v>
      </c>
      <c r="F195" s="37">
        <v>82</v>
      </c>
      <c r="G195" s="37">
        <f t="shared" si="2"/>
        <v>492</v>
      </c>
    </row>
    <row r="196" spans="1:7">
      <c r="A196" s="35">
        <v>46112</v>
      </c>
      <c r="B196" s="34" t="s">
        <v>24</v>
      </c>
      <c r="C196" s="34" t="s">
        <v>139</v>
      </c>
      <c r="D196" s="34" t="s">
        <v>175</v>
      </c>
      <c r="E196" s="34">
        <v>2</v>
      </c>
      <c r="F196" s="37">
        <v>82</v>
      </c>
      <c r="G196" s="37">
        <f t="shared" ref="G196:G259" si="3">E196*F196</f>
        <v>164</v>
      </c>
    </row>
    <row r="197" spans="1:7">
      <c r="A197" s="35">
        <v>46112</v>
      </c>
      <c r="B197" s="34" t="s">
        <v>24</v>
      </c>
      <c r="C197" s="34" t="s">
        <v>143</v>
      </c>
      <c r="D197" s="34" t="s">
        <v>172</v>
      </c>
      <c r="E197" s="34">
        <v>34</v>
      </c>
      <c r="F197" s="37">
        <v>82</v>
      </c>
      <c r="G197" s="37">
        <f t="shared" si="3"/>
        <v>2788</v>
      </c>
    </row>
    <row r="198" spans="1:7">
      <c r="A198" s="35">
        <v>46112</v>
      </c>
      <c r="B198" s="34" t="s">
        <v>24</v>
      </c>
      <c r="C198" s="34" t="s">
        <v>143</v>
      </c>
      <c r="D198" s="34" t="s">
        <v>174</v>
      </c>
      <c r="E198" s="34">
        <v>4</v>
      </c>
      <c r="F198" s="37">
        <v>82</v>
      </c>
      <c r="G198" s="37">
        <f t="shared" si="3"/>
        <v>328</v>
      </c>
    </row>
    <row r="199" spans="1:7">
      <c r="A199" s="35">
        <v>46112</v>
      </c>
      <c r="B199" s="34" t="s">
        <v>24</v>
      </c>
      <c r="C199" s="34" t="s">
        <v>143</v>
      </c>
      <c r="D199" s="34" t="s">
        <v>175</v>
      </c>
      <c r="E199" s="34">
        <v>8</v>
      </c>
      <c r="F199" s="37">
        <v>82</v>
      </c>
      <c r="G199" s="37">
        <f t="shared" si="3"/>
        <v>656</v>
      </c>
    </row>
    <row r="200" spans="1:7">
      <c r="A200" s="35">
        <v>46112</v>
      </c>
      <c r="B200" s="34" t="s">
        <v>29</v>
      </c>
      <c r="C200" s="34" t="s">
        <v>139</v>
      </c>
      <c r="D200" s="34" t="s">
        <v>172</v>
      </c>
      <c r="E200" s="34">
        <v>44</v>
      </c>
      <c r="F200" s="37">
        <v>46</v>
      </c>
      <c r="G200" s="37">
        <f t="shared" si="3"/>
        <v>2024</v>
      </c>
    </row>
    <row r="201" spans="1:7">
      <c r="A201" s="35">
        <v>46112</v>
      </c>
      <c r="B201" s="34" t="s">
        <v>29</v>
      </c>
      <c r="C201" s="34" t="s">
        <v>139</v>
      </c>
      <c r="D201" s="34" t="s">
        <v>174</v>
      </c>
      <c r="E201" s="34">
        <v>6</v>
      </c>
      <c r="F201" s="37">
        <v>46</v>
      </c>
      <c r="G201" s="37">
        <f t="shared" si="3"/>
        <v>276</v>
      </c>
    </row>
    <row r="202" spans="1:7">
      <c r="A202" s="35">
        <v>46112</v>
      </c>
      <c r="B202" s="34" t="s">
        <v>29</v>
      </c>
      <c r="C202" s="34" t="s">
        <v>139</v>
      </c>
      <c r="D202" s="34" t="s">
        <v>175</v>
      </c>
      <c r="E202" s="34">
        <v>3</v>
      </c>
      <c r="F202" s="37">
        <v>46</v>
      </c>
      <c r="G202" s="37">
        <f t="shared" si="3"/>
        <v>138</v>
      </c>
    </row>
    <row r="203" spans="1:7">
      <c r="A203" s="35">
        <v>46112</v>
      </c>
      <c r="B203" s="34" t="s">
        <v>29</v>
      </c>
      <c r="C203" s="34" t="s">
        <v>143</v>
      </c>
      <c r="D203" s="34" t="s">
        <v>172</v>
      </c>
      <c r="E203" s="34">
        <v>24</v>
      </c>
      <c r="F203" s="37">
        <v>46</v>
      </c>
      <c r="G203" s="37">
        <f t="shared" si="3"/>
        <v>1104</v>
      </c>
    </row>
    <row r="204" spans="1:7">
      <c r="A204" s="35">
        <v>46112</v>
      </c>
      <c r="B204" s="34" t="s">
        <v>29</v>
      </c>
      <c r="C204" s="34" t="s">
        <v>143</v>
      </c>
      <c r="D204" s="34" t="s">
        <v>174</v>
      </c>
      <c r="E204" s="34">
        <v>4</v>
      </c>
      <c r="F204" s="37">
        <v>46</v>
      </c>
      <c r="G204" s="37">
        <f t="shared" si="3"/>
        <v>184</v>
      </c>
    </row>
    <row r="205" spans="1:7">
      <c r="A205" s="35">
        <v>46112</v>
      </c>
      <c r="B205" s="34" t="s">
        <v>29</v>
      </c>
      <c r="C205" s="34" t="s">
        <v>143</v>
      </c>
      <c r="D205" s="34" t="s">
        <v>175</v>
      </c>
      <c r="E205" s="34">
        <v>6</v>
      </c>
      <c r="F205" s="37">
        <v>46</v>
      </c>
      <c r="G205" s="37">
        <f t="shared" si="3"/>
        <v>276</v>
      </c>
    </row>
    <row r="206" spans="1:7">
      <c r="A206" s="35">
        <v>46112</v>
      </c>
      <c r="B206" s="34" t="s">
        <v>36</v>
      </c>
      <c r="C206" s="34" t="s">
        <v>139</v>
      </c>
      <c r="D206" s="34" t="s">
        <v>172</v>
      </c>
      <c r="E206" s="34">
        <v>2</v>
      </c>
      <c r="F206" s="37">
        <v>420</v>
      </c>
      <c r="G206" s="37">
        <f t="shared" si="3"/>
        <v>840</v>
      </c>
    </row>
    <row r="207" spans="1:7">
      <c r="A207" s="35">
        <v>46112</v>
      </c>
      <c r="B207" s="34" t="s">
        <v>36</v>
      </c>
      <c r="C207" s="34" t="s">
        <v>139</v>
      </c>
      <c r="D207" s="34" t="s">
        <v>174</v>
      </c>
      <c r="E207" s="34">
        <v>2</v>
      </c>
      <c r="F207" s="37">
        <v>420</v>
      </c>
      <c r="G207" s="37">
        <f t="shared" si="3"/>
        <v>840</v>
      </c>
    </row>
    <row r="208" spans="1:7">
      <c r="A208" s="35">
        <v>46112</v>
      </c>
      <c r="B208" s="34" t="s">
        <v>36</v>
      </c>
      <c r="C208" s="34" t="s">
        <v>139</v>
      </c>
      <c r="D208" s="34" t="s">
        <v>175</v>
      </c>
      <c r="E208" s="34">
        <v>10</v>
      </c>
      <c r="F208" s="37">
        <v>420</v>
      </c>
      <c r="G208" s="37">
        <f t="shared" si="3"/>
        <v>4200</v>
      </c>
    </row>
    <row r="209" spans="1:7">
      <c r="A209" s="35">
        <v>46112</v>
      </c>
      <c r="B209" s="34" t="s">
        <v>36</v>
      </c>
      <c r="C209" s="34" t="s">
        <v>143</v>
      </c>
      <c r="D209" s="34" t="s">
        <v>172</v>
      </c>
      <c r="E209" s="34">
        <v>43</v>
      </c>
      <c r="F209" s="37">
        <v>420</v>
      </c>
      <c r="G209" s="37">
        <f t="shared" si="3"/>
        <v>18060</v>
      </c>
    </row>
    <row r="210" spans="1:7">
      <c r="A210" s="35">
        <v>46112</v>
      </c>
      <c r="B210" s="34" t="s">
        <v>36</v>
      </c>
      <c r="C210" s="34" t="s">
        <v>143</v>
      </c>
      <c r="D210" s="34" t="s">
        <v>174</v>
      </c>
      <c r="E210" s="34">
        <v>6</v>
      </c>
      <c r="F210" s="37">
        <v>420</v>
      </c>
      <c r="G210" s="37">
        <f t="shared" si="3"/>
        <v>2520</v>
      </c>
    </row>
    <row r="211" spans="1:7">
      <c r="A211" s="35">
        <v>46112</v>
      </c>
      <c r="B211" s="34" t="s">
        <v>41</v>
      </c>
      <c r="C211" s="34" t="s">
        <v>139</v>
      </c>
      <c r="D211" s="34" t="s">
        <v>172</v>
      </c>
      <c r="E211" s="34">
        <v>13</v>
      </c>
      <c r="F211" s="37">
        <v>175</v>
      </c>
      <c r="G211" s="37">
        <f t="shared" si="3"/>
        <v>2275</v>
      </c>
    </row>
    <row r="212" spans="1:7">
      <c r="A212" s="35">
        <v>46112</v>
      </c>
      <c r="B212" s="34" t="s">
        <v>41</v>
      </c>
      <c r="C212" s="34" t="s">
        <v>139</v>
      </c>
      <c r="D212" s="34" t="s">
        <v>174</v>
      </c>
      <c r="E212" s="34">
        <v>5</v>
      </c>
      <c r="F212" s="37">
        <v>175</v>
      </c>
      <c r="G212" s="37">
        <f t="shared" si="3"/>
        <v>875</v>
      </c>
    </row>
    <row r="213" spans="1:7">
      <c r="A213" s="35">
        <v>46112</v>
      </c>
      <c r="B213" s="34" t="s">
        <v>41</v>
      </c>
      <c r="C213" s="34" t="s">
        <v>139</v>
      </c>
      <c r="D213" s="34" t="s">
        <v>175</v>
      </c>
      <c r="E213" s="34">
        <v>7</v>
      </c>
      <c r="F213" s="37">
        <v>175</v>
      </c>
      <c r="G213" s="37">
        <f t="shared" si="3"/>
        <v>1225</v>
      </c>
    </row>
    <row r="214" spans="1:7">
      <c r="A214" s="35">
        <v>46112</v>
      </c>
      <c r="B214" s="34" t="s">
        <v>41</v>
      </c>
      <c r="C214" s="34" t="s">
        <v>143</v>
      </c>
      <c r="D214" s="34" t="s">
        <v>172</v>
      </c>
      <c r="E214" s="34">
        <v>28</v>
      </c>
      <c r="F214" s="37">
        <v>175</v>
      </c>
      <c r="G214" s="37">
        <f t="shared" si="3"/>
        <v>4900</v>
      </c>
    </row>
    <row r="215" spans="1:7">
      <c r="A215" s="35">
        <v>46112</v>
      </c>
      <c r="B215" s="34" t="s">
        <v>41</v>
      </c>
      <c r="C215" s="34" t="s">
        <v>143</v>
      </c>
      <c r="D215" s="34" t="s">
        <v>174</v>
      </c>
      <c r="E215" s="34">
        <v>4</v>
      </c>
      <c r="F215" s="37">
        <v>175</v>
      </c>
      <c r="G215" s="37">
        <f t="shared" si="3"/>
        <v>700</v>
      </c>
    </row>
    <row r="216" spans="1:7">
      <c r="A216" s="35">
        <v>46112</v>
      </c>
      <c r="B216" s="34" t="s">
        <v>41</v>
      </c>
      <c r="C216" s="34" t="s">
        <v>143</v>
      </c>
      <c r="D216" s="34" t="s">
        <v>175</v>
      </c>
      <c r="E216" s="34">
        <v>5</v>
      </c>
      <c r="F216" s="37">
        <v>175</v>
      </c>
      <c r="G216" s="37">
        <f t="shared" si="3"/>
        <v>875</v>
      </c>
    </row>
    <row r="217" spans="1:7">
      <c r="A217" s="35">
        <v>46112</v>
      </c>
      <c r="B217" s="34" t="s">
        <v>45</v>
      </c>
      <c r="C217" s="34" t="s">
        <v>139</v>
      </c>
      <c r="D217" s="34" t="s">
        <v>172</v>
      </c>
      <c r="E217" s="34">
        <v>40</v>
      </c>
      <c r="F217" s="37">
        <v>220</v>
      </c>
      <c r="G217" s="37">
        <f t="shared" si="3"/>
        <v>8800</v>
      </c>
    </row>
    <row r="218" spans="1:7">
      <c r="A218" s="35">
        <v>46112</v>
      </c>
      <c r="B218" s="34" t="s">
        <v>45</v>
      </c>
      <c r="C218" s="34" t="s">
        <v>139</v>
      </c>
      <c r="D218" s="34" t="s">
        <v>174</v>
      </c>
      <c r="E218" s="34">
        <v>6</v>
      </c>
      <c r="F218" s="37">
        <v>220</v>
      </c>
      <c r="G218" s="37">
        <f t="shared" si="3"/>
        <v>1320</v>
      </c>
    </row>
    <row r="219" spans="1:7">
      <c r="A219" s="35">
        <v>46112</v>
      </c>
      <c r="B219" s="34" t="s">
        <v>45</v>
      </c>
      <c r="C219" s="34" t="s">
        <v>139</v>
      </c>
      <c r="D219" s="34" t="s">
        <v>175</v>
      </c>
      <c r="E219" s="34">
        <v>5</v>
      </c>
      <c r="F219" s="37">
        <v>220</v>
      </c>
      <c r="G219" s="37">
        <f t="shared" si="3"/>
        <v>1100</v>
      </c>
    </row>
    <row r="220" spans="1:7">
      <c r="A220" s="35">
        <v>46112</v>
      </c>
      <c r="B220" s="34" t="s">
        <v>45</v>
      </c>
      <c r="C220" s="34" t="s">
        <v>143</v>
      </c>
      <c r="D220" s="34" t="s">
        <v>172</v>
      </c>
      <c r="E220" s="34">
        <v>17</v>
      </c>
      <c r="F220" s="37">
        <v>220</v>
      </c>
      <c r="G220" s="37">
        <f t="shared" si="3"/>
        <v>3740</v>
      </c>
    </row>
    <row r="221" spans="1:7">
      <c r="A221" s="35">
        <v>46112</v>
      </c>
      <c r="B221" s="34" t="s">
        <v>45</v>
      </c>
      <c r="C221" s="34" t="s">
        <v>143</v>
      </c>
      <c r="D221" s="34" t="s">
        <v>174</v>
      </c>
      <c r="E221" s="34">
        <v>4</v>
      </c>
      <c r="F221" s="37">
        <v>220</v>
      </c>
      <c r="G221" s="37">
        <f t="shared" si="3"/>
        <v>880</v>
      </c>
    </row>
    <row r="222" spans="1:7">
      <c r="A222" s="35">
        <v>46112</v>
      </c>
      <c r="B222" s="34" t="s">
        <v>45</v>
      </c>
      <c r="C222" s="34" t="s">
        <v>143</v>
      </c>
      <c r="D222" s="34" t="s">
        <v>175</v>
      </c>
      <c r="E222" s="34">
        <v>1</v>
      </c>
      <c r="F222" s="37">
        <v>220</v>
      </c>
      <c r="G222" s="37">
        <f t="shared" si="3"/>
        <v>220</v>
      </c>
    </row>
    <row r="223" spans="1:7">
      <c r="A223" s="35">
        <v>46112</v>
      </c>
      <c r="B223" s="34" t="s">
        <v>50</v>
      </c>
      <c r="C223" s="34" t="s">
        <v>139</v>
      </c>
      <c r="D223" s="34" t="s">
        <v>172</v>
      </c>
      <c r="E223" s="34">
        <v>26</v>
      </c>
      <c r="F223" s="37">
        <v>135</v>
      </c>
      <c r="G223" s="37">
        <f t="shared" si="3"/>
        <v>3510</v>
      </c>
    </row>
    <row r="224" spans="1:7">
      <c r="A224" s="35">
        <v>46112</v>
      </c>
      <c r="B224" s="34" t="s">
        <v>50</v>
      </c>
      <c r="C224" s="34" t="s">
        <v>139</v>
      </c>
      <c r="D224" s="34" t="s">
        <v>174</v>
      </c>
      <c r="E224" s="34">
        <v>8</v>
      </c>
      <c r="F224" s="37">
        <v>135</v>
      </c>
      <c r="G224" s="37">
        <f t="shared" si="3"/>
        <v>1080</v>
      </c>
    </row>
    <row r="225" spans="1:7">
      <c r="A225" s="35">
        <v>46112</v>
      </c>
      <c r="B225" s="34" t="s">
        <v>50</v>
      </c>
      <c r="C225" s="34" t="s">
        <v>139</v>
      </c>
      <c r="D225" s="34" t="s">
        <v>175</v>
      </c>
      <c r="E225" s="34">
        <v>3</v>
      </c>
      <c r="F225" s="37">
        <v>135</v>
      </c>
      <c r="G225" s="37">
        <f t="shared" si="3"/>
        <v>405</v>
      </c>
    </row>
    <row r="226" spans="1:7">
      <c r="A226" s="35">
        <v>46112</v>
      </c>
      <c r="B226" s="34" t="s">
        <v>50</v>
      </c>
      <c r="C226" s="34" t="s">
        <v>143</v>
      </c>
      <c r="D226" s="34" t="s">
        <v>172</v>
      </c>
      <c r="E226" s="34">
        <v>33</v>
      </c>
      <c r="F226" s="37">
        <v>135</v>
      </c>
      <c r="G226" s="37">
        <f t="shared" si="3"/>
        <v>4455</v>
      </c>
    </row>
    <row r="227" spans="1:7">
      <c r="A227" s="35">
        <v>46112</v>
      </c>
      <c r="B227" s="34" t="s">
        <v>50</v>
      </c>
      <c r="C227" s="34" t="s">
        <v>143</v>
      </c>
      <c r="D227" s="34" t="s">
        <v>174</v>
      </c>
      <c r="E227" s="34">
        <v>4</v>
      </c>
      <c r="F227" s="37">
        <v>135</v>
      </c>
      <c r="G227" s="37">
        <f t="shared" si="3"/>
        <v>540</v>
      </c>
    </row>
    <row r="228" spans="1:7">
      <c r="A228" s="35">
        <v>46112</v>
      </c>
      <c r="B228" s="34" t="s">
        <v>50</v>
      </c>
      <c r="C228" s="34" t="s">
        <v>143</v>
      </c>
      <c r="D228" s="34" t="s">
        <v>175</v>
      </c>
      <c r="E228" s="34">
        <v>7</v>
      </c>
      <c r="F228" s="37">
        <v>135</v>
      </c>
      <c r="G228" s="37">
        <f t="shared" si="3"/>
        <v>945</v>
      </c>
    </row>
    <row r="229" spans="1:7">
      <c r="A229" s="35">
        <v>46112</v>
      </c>
      <c r="B229" s="34" t="s">
        <v>53</v>
      </c>
      <c r="C229" s="34" t="s">
        <v>139</v>
      </c>
      <c r="D229" s="34" t="s">
        <v>172</v>
      </c>
      <c r="E229" s="34">
        <v>12</v>
      </c>
      <c r="F229" s="37">
        <v>160</v>
      </c>
      <c r="G229" s="37">
        <f t="shared" si="3"/>
        <v>1920</v>
      </c>
    </row>
    <row r="230" spans="1:7">
      <c r="A230" s="35">
        <v>46112</v>
      </c>
      <c r="B230" s="34" t="s">
        <v>53</v>
      </c>
      <c r="C230" s="34" t="s">
        <v>139</v>
      </c>
      <c r="D230" s="34" t="s">
        <v>174</v>
      </c>
      <c r="E230" s="34">
        <v>8</v>
      </c>
      <c r="F230" s="37">
        <v>160</v>
      </c>
      <c r="G230" s="37">
        <f t="shared" si="3"/>
        <v>1280</v>
      </c>
    </row>
    <row r="231" spans="1:7">
      <c r="A231" s="35">
        <v>46112</v>
      </c>
      <c r="B231" s="34" t="s">
        <v>53</v>
      </c>
      <c r="C231" s="34" t="s">
        <v>139</v>
      </c>
      <c r="D231" s="34" t="s">
        <v>175</v>
      </c>
      <c r="E231" s="34">
        <v>5</v>
      </c>
      <c r="F231" s="37">
        <v>160</v>
      </c>
      <c r="G231" s="37">
        <f t="shared" si="3"/>
        <v>800</v>
      </c>
    </row>
    <row r="232" spans="1:7">
      <c r="A232" s="35">
        <v>46112</v>
      </c>
      <c r="B232" s="34" t="s">
        <v>53</v>
      </c>
      <c r="C232" s="34" t="s">
        <v>143</v>
      </c>
      <c r="D232" s="34" t="s">
        <v>172</v>
      </c>
      <c r="E232" s="34">
        <v>17</v>
      </c>
      <c r="F232" s="37">
        <v>160</v>
      </c>
      <c r="G232" s="37">
        <f t="shared" si="3"/>
        <v>2720</v>
      </c>
    </row>
    <row r="233" spans="1:7">
      <c r="A233" s="35">
        <v>46112</v>
      </c>
      <c r="B233" s="34" t="s">
        <v>53</v>
      </c>
      <c r="C233" s="34" t="s">
        <v>143</v>
      </c>
      <c r="D233" s="34" t="s">
        <v>174</v>
      </c>
      <c r="E233" s="34">
        <v>2</v>
      </c>
      <c r="F233" s="37">
        <v>160</v>
      </c>
      <c r="G233" s="37">
        <f t="shared" si="3"/>
        <v>320</v>
      </c>
    </row>
    <row r="234" spans="1:7">
      <c r="A234" s="35">
        <v>46112</v>
      </c>
      <c r="B234" s="34" t="s">
        <v>53</v>
      </c>
      <c r="C234" s="34" t="s">
        <v>143</v>
      </c>
      <c r="D234" s="34" t="s">
        <v>175</v>
      </c>
      <c r="E234" s="34">
        <v>6</v>
      </c>
      <c r="F234" s="37">
        <v>160</v>
      </c>
      <c r="G234" s="37">
        <f t="shared" si="3"/>
        <v>960</v>
      </c>
    </row>
    <row r="235" spans="1:7">
      <c r="A235" s="35">
        <v>46112</v>
      </c>
      <c r="B235" s="34" t="s">
        <v>56</v>
      </c>
      <c r="C235" s="34" t="s">
        <v>139</v>
      </c>
      <c r="D235" s="34" t="s">
        <v>172</v>
      </c>
      <c r="E235" s="34">
        <v>24</v>
      </c>
      <c r="F235" s="37">
        <v>95</v>
      </c>
      <c r="G235" s="37">
        <f t="shared" si="3"/>
        <v>2280</v>
      </c>
    </row>
    <row r="236" spans="1:7">
      <c r="A236" s="35">
        <v>46112</v>
      </c>
      <c r="B236" s="34" t="s">
        <v>56</v>
      </c>
      <c r="C236" s="34" t="s">
        <v>139</v>
      </c>
      <c r="D236" s="34" t="s">
        <v>174</v>
      </c>
      <c r="E236" s="34">
        <v>8</v>
      </c>
      <c r="F236" s="37">
        <v>95</v>
      </c>
      <c r="G236" s="37">
        <f t="shared" si="3"/>
        <v>760</v>
      </c>
    </row>
    <row r="237" spans="1:7">
      <c r="A237" s="35">
        <v>46112</v>
      </c>
      <c r="B237" s="34" t="s">
        <v>56</v>
      </c>
      <c r="C237" s="34" t="s">
        <v>139</v>
      </c>
      <c r="D237" s="34" t="s">
        <v>175</v>
      </c>
      <c r="E237" s="34">
        <v>2</v>
      </c>
      <c r="F237" s="37">
        <v>95</v>
      </c>
      <c r="G237" s="37">
        <f t="shared" si="3"/>
        <v>190</v>
      </c>
    </row>
    <row r="238" spans="1:7">
      <c r="A238" s="35">
        <v>46112</v>
      </c>
      <c r="B238" s="34" t="s">
        <v>56</v>
      </c>
      <c r="C238" s="34" t="s">
        <v>143</v>
      </c>
      <c r="D238" s="34" t="s">
        <v>172</v>
      </c>
      <c r="E238" s="34">
        <v>39</v>
      </c>
      <c r="F238" s="37">
        <v>95</v>
      </c>
      <c r="G238" s="37">
        <f t="shared" si="3"/>
        <v>3705</v>
      </c>
    </row>
    <row r="239" spans="1:7">
      <c r="A239" s="35">
        <v>46112</v>
      </c>
      <c r="B239" s="34" t="s">
        <v>56</v>
      </c>
      <c r="C239" s="34" t="s">
        <v>143</v>
      </c>
      <c r="D239" s="34" t="s">
        <v>174</v>
      </c>
      <c r="E239" s="34">
        <v>6</v>
      </c>
      <c r="F239" s="37">
        <v>95</v>
      </c>
      <c r="G239" s="37">
        <f t="shared" si="3"/>
        <v>570</v>
      </c>
    </row>
    <row r="240" spans="1:7">
      <c r="A240" s="35">
        <v>46112</v>
      </c>
      <c r="B240" s="34" t="s">
        <v>56</v>
      </c>
      <c r="C240" s="34" t="s">
        <v>143</v>
      </c>
      <c r="D240" s="34" t="s">
        <v>175</v>
      </c>
      <c r="E240" s="34">
        <v>1</v>
      </c>
      <c r="F240" s="37">
        <v>95</v>
      </c>
      <c r="G240" s="37">
        <f t="shared" si="3"/>
        <v>95</v>
      </c>
    </row>
    <row r="241" spans="1:7">
      <c r="A241" s="35">
        <v>46112</v>
      </c>
      <c r="B241" s="34" t="s">
        <v>60</v>
      </c>
      <c r="C241" s="34" t="s">
        <v>139</v>
      </c>
      <c r="D241" s="34" t="s">
        <v>172</v>
      </c>
      <c r="E241" s="34">
        <v>260</v>
      </c>
      <c r="F241" s="37">
        <v>18</v>
      </c>
      <c r="G241" s="37">
        <f t="shared" si="3"/>
        <v>4680</v>
      </c>
    </row>
    <row r="242" spans="1:7">
      <c r="A242" s="35">
        <v>46112</v>
      </c>
      <c r="B242" s="34" t="s">
        <v>60</v>
      </c>
      <c r="C242" s="34" t="s">
        <v>139</v>
      </c>
      <c r="D242" s="34" t="s">
        <v>174</v>
      </c>
      <c r="E242" s="34">
        <v>8</v>
      </c>
      <c r="F242" s="37">
        <v>18</v>
      </c>
      <c r="G242" s="37">
        <f t="shared" si="3"/>
        <v>144</v>
      </c>
    </row>
    <row r="243" spans="1:7">
      <c r="A243" s="35">
        <v>46112</v>
      </c>
      <c r="B243" s="34" t="s">
        <v>60</v>
      </c>
      <c r="C243" s="34" t="s">
        <v>139</v>
      </c>
      <c r="D243" s="34" t="s">
        <v>175</v>
      </c>
      <c r="E243" s="34">
        <v>6</v>
      </c>
      <c r="F243" s="37">
        <v>18</v>
      </c>
      <c r="G243" s="37">
        <f t="shared" si="3"/>
        <v>108</v>
      </c>
    </row>
    <row r="244" spans="1:7">
      <c r="A244" s="35">
        <v>46112</v>
      </c>
      <c r="B244" s="34" t="s">
        <v>60</v>
      </c>
      <c r="C244" s="34" t="s">
        <v>143</v>
      </c>
      <c r="D244" s="34" t="s">
        <v>172</v>
      </c>
      <c r="E244" s="34">
        <v>17</v>
      </c>
      <c r="F244" s="37">
        <v>18</v>
      </c>
      <c r="G244" s="37">
        <f t="shared" si="3"/>
        <v>306</v>
      </c>
    </row>
    <row r="245" spans="1:7">
      <c r="A245" s="35">
        <v>46112</v>
      </c>
      <c r="B245" s="34" t="s">
        <v>60</v>
      </c>
      <c r="C245" s="34" t="s">
        <v>143</v>
      </c>
      <c r="D245" s="34" t="s">
        <v>174</v>
      </c>
      <c r="E245" s="34">
        <v>3</v>
      </c>
      <c r="F245" s="37">
        <v>18</v>
      </c>
      <c r="G245" s="37">
        <f t="shared" si="3"/>
        <v>54</v>
      </c>
    </row>
    <row r="246" spans="1:7">
      <c r="A246" s="35">
        <v>46112</v>
      </c>
      <c r="B246" s="34" t="s">
        <v>60</v>
      </c>
      <c r="C246" s="34" t="s">
        <v>143</v>
      </c>
      <c r="D246" s="34" t="s">
        <v>175</v>
      </c>
      <c r="E246" s="34">
        <v>2</v>
      </c>
      <c r="F246" s="37">
        <v>18</v>
      </c>
      <c r="G246" s="37">
        <f t="shared" si="3"/>
        <v>36</v>
      </c>
    </row>
    <row r="247" spans="1:7">
      <c r="A247" s="35">
        <v>46112</v>
      </c>
      <c r="B247" s="34" t="s">
        <v>67</v>
      </c>
      <c r="C247" s="34" t="s">
        <v>139</v>
      </c>
      <c r="D247" s="34" t="s">
        <v>172</v>
      </c>
      <c r="E247" s="34">
        <v>20</v>
      </c>
      <c r="F247" s="37">
        <v>145</v>
      </c>
      <c r="G247" s="37">
        <f t="shared" si="3"/>
        <v>2900</v>
      </c>
    </row>
    <row r="248" spans="1:7">
      <c r="A248" s="35">
        <v>46112</v>
      </c>
      <c r="B248" s="34" t="s">
        <v>67</v>
      </c>
      <c r="C248" s="34" t="s">
        <v>139</v>
      </c>
      <c r="D248" s="34" t="s">
        <v>174</v>
      </c>
      <c r="E248" s="34">
        <v>1</v>
      </c>
      <c r="F248" s="37">
        <v>145</v>
      </c>
      <c r="G248" s="37">
        <f t="shared" si="3"/>
        <v>145</v>
      </c>
    </row>
    <row r="249" spans="1:7">
      <c r="A249" s="35">
        <v>46112</v>
      </c>
      <c r="B249" s="34" t="s">
        <v>67</v>
      </c>
      <c r="C249" s="34" t="s">
        <v>139</v>
      </c>
      <c r="D249" s="34" t="s">
        <v>175</v>
      </c>
      <c r="E249" s="34">
        <v>2</v>
      </c>
      <c r="F249" s="37">
        <v>145</v>
      </c>
      <c r="G249" s="37">
        <f t="shared" si="3"/>
        <v>290</v>
      </c>
    </row>
    <row r="250" spans="1:7">
      <c r="A250" s="35">
        <v>46112</v>
      </c>
      <c r="B250" s="34" t="s">
        <v>67</v>
      </c>
      <c r="C250" s="34" t="s">
        <v>143</v>
      </c>
      <c r="D250" s="34" t="s">
        <v>172</v>
      </c>
      <c r="E250" s="34">
        <v>41</v>
      </c>
      <c r="F250" s="37">
        <v>145</v>
      </c>
      <c r="G250" s="37">
        <f t="shared" si="3"/>
        <v>5945</v>
      </c>
    </row>
    <row r="251" spans="1:7">
      <c r="A251" s="35">
        <v>46112</v>
      </c>
      <c r="B251" s="34" t="s">
        <v>67</v>
      </c>
      <c r="C251" s="34" t="s">
        <v>143</v>
      </c>
      <c r="D251" s="34" t="s">
        <v>174</v>
      </c>
      <c r="E251" s="34">
        <v>3</v>
      </c>
      <c r="F251" s="37">
        <v>145</v>
      </c>
      <c r="G251" s="37">
        <f t="shared" si="3"/>
        <v>435</v>
      </c>
    </row>
    <row r="252" spans="1:7">
      <c r="A252" s="35">
        <v>46112</v>
      </c>
      <c r="B252" s="34" t="s">
        <v>67</v>
      </c>
      <c r="C252" s="34" t="s">
        <v>143</v>
      </c>
      <c r="D252" s="34" t="s">
        <v>175</v>
      </c>
      <c r="E252" s="34">
        <v>7</v>
      </c>
      <c r="F252" s="37">
        <v>145</v>
      </c>
      <c r="G252" s="37">
        <f t="shared" si="3"/>
        <v>1015</v>
      </c>
    </row>
    <row r="253" spans="1:7">
      <c r="A253" s="35">
        <v>46112</v>
      </c>
      <c r="B253" s="34" t="s">
        <v>70</v>
      </c>
      <c r="C253" s="34" t="s">
        <v>139</v>
      </c>
      <c r="D253" s="34" t="s">
        <v>172</v>
      </c>
      <c r="E253" s="34">
        <v>34</v>
      </c>
      <c r="F253" s="37">
        <v>310</v>
      </c>
      <c r="G253" s="37">
        <f t="shared" si="3"/>
        <v>10540</v>
      </c>
    </row>
    <row r="254" spans="1:7">
      <c r="A254" s="35">
        <v>46112</v>
      </c>
      <c r="B254" s="34" t="s">
        <v>70</v>
      </c>
      <c r="C254" s="34" t="s">
        <v>139</v>
      </c>
      <c r="D254" s="34" t="s">
        <v>174</v>
      </c>
      <c r="E254" s="34">
        <v>3</v>
      </c>
      <c r="F254" s="37">
        <v>310</v>
      </c>
      <c r="G254" s="37">
        <f t="shared" si="3"/>
        <v>930</v>
      </c>
    </row>
    <row r="255" spans="1:7">
      <c r="A255" s="35">
        <v>46112</v>
      </c>
      <c r="B255" s="34" t="s">
        <v>70</v>
      </c>
      <c r="C255" s="34" t="s">
        <v>139</v>
      </c>
      <c r="D255" s="34" t="s">
        <v>175</v>
      </c>
      <c r="E255" s="34">
        <v>8</v>
      </c>
      <c r="F255" s="37">
        <v>310</v>
      </c>
      <c r="G255" s="37">
        <f t="shared" si="3"/>
        <v>2480</v>
      </c>
    </row>
    <row r="256" spans="1:7">
      <c r="A256" s="35">
        <v>46112</v>
      </c>
      <c r="B256" s="34" t="s">
        <v>70</v>
      </c>
      <c r="C256" s="34" t="s">
        <v>143</v>
      </c>
      <c r="D256" s="34" t="s">
        <v>172</v>
      </c>
      <c r="E256" s="34">
        <v>20</v>
      </c>
      <c r="F256" s="37">
        <v>310</v>
      </c>
      <c r="G256" s="37">
        <f t="shared" si="3"/>
        <v>6200</v>
      </c>
    </row>
    <row r="257" spans="1:7">
      <c r="A257" s="35">
        <v>46112</v>
      </c>
      <c r="B257" s="34" t="s">
        <v>70</v>
      </c>
      <c r="C257" s="34" t="s">
        <v>143</v>
      </c>
      <c r="D257" s="34" t="s">
        <v>174</v>
      </c>
      <c r="E257" s="34">
        <v>1</v>
      </c>
      <c r="F257" s="37">
        <v>310</v>
      </c>
      <c r="G257" s="37">
        <f t="shared" si="3"/>
        <v>310</v>
      </c>
    </row>
    <row r="258" spans="1:7">
      <c r="A258" s="35">
        <v>46112</v>
      </c>
      <c r="B258" s="34" t="s">
        <v>73</v>
      </c>
      <c r="C258" s="34" t="s">
        <v>139</v>
      </c>
      <c r="D258" s="34" t="s">
        <v>172</v>
      </c>
      <c r="E258" s="34">
        <v>18</v>
      </c>
      <c r="F258" s="37">
        <v>28</v>
      </c>
      <c r="G258" s="37">
        <f t="shared" si="3"/>
        <v>504</v>
      </c>
    </row>
    <row r="259" spans="1:7">
      <c r="A259" s="35">
        <v>46112</v>
      </c>
      <c r="B259" s="34" t="s">
        <v>73</v>
      </c>
      <c r="C259" s="34" t="s">
        <v>139</v>
      </c>
      <c r="D259" s="34" t="s">
        <v>174</v>
      </c>
      <c r="E259" s="34">
        <v>3</v>
      </c>
      <c r="F259" s="37">
        <v>28</v>
      </c>
      <c r="G259" s="37">
        <f t="shared" si="3"/>
        <v>84</v>
      </c>
    </row>
    <row r="260" spans="1:7">
      <c r="A260" s="35">
        <v>46112</v>
      </c>
      <c r="B260" s="34" t="s">
        <v>73</v>
      </c>
      <c r="C260" s="34" t="s">
        <v>139</v>
      </c>
      <c r="D260" s="34" t="s">
        <v>175</v>
      </c>
      <c r="E260" s="34">
        <v>6</v>
      </c>
      <c r="F260" s="37">
        <v>28</v>
      </c>
      <c r="G260" s="37">
        <f t="shared" ref="G260:G274" si="4">E260*F260</f>
        <v>168</v>
      </c>
    </row>
    <row r="261" spans="1:7">
      <c r="A261" s="35">
        <v>46112</v>
      </c>
      <c r="B261" s="34" t="s">
        <v>73</v>
      </c>
      <c r="C261" s="34" t="s">
        <v>143</v>
      </c>
      <c r="D261" s="34" t="s">
        <v>172</v>
      </c>
      <c r="E261" s="34">
        <v>24</v>
      </c>
      <c r="F261" s="37">
        <v>28</v>
      </c>
      <c r="G261" s="37">
        <f t="shared" si="4"/>
        <v>672</v>
      </c>
    </row>
    <row r="262" spans="1:7">
      <c r="A262" s="35">
        <v>46112</v>
      </c>
      <c r="B262" s="34" t="s">
        <v>73</v>
      </c>
      <c r="C262" s="34" t="s">
        <v>143</v>
      </c>
      <c r="D262" s="34" t="s">
        <v>174</v>
      </c>
      <c r="E262" s="34">
        <v>4</v>
      </c>
      <c r="F262" s="37">
        <v>28</v>
      </c>
      <c r="G262" s="37">
        <f t="shared" si="4"/>
        <v>112</v>
      </c>
    </row>
    <row r="263" spans="1:7">
      <c r="A263" s="35">
        <v>46112</v>
      </c>
      <c r="B263" s="34" t="s">
        <v>76</v>
      </c>
      <c r="C263" s="34" t="s">
        <v>139</v>
      </c>
      <c r="D263" s="34" t="s">
        <v>172</v>
      </c>
      <c r="E263" s="34">
        <v>28</v>
      </c>
      <c r="F263" s="37">
        <v>290</v>
      </c>
      <c r="G263" s="37">
        <f t="shared" si="4"/>
        <v>8120</v>
      </c>
    </row>
    <row r="264" spans="1:7">
      <c r="A264" s="35">
        <v>46112</v>
      </c>
      <c r="B264" s="34" t="s">
        <v>76</v>
      </c>
      <c r="C264" s="34" t="s">
        <v>139</v>
      </c>
      <c r="D264" s="34" t="s">
        <v>174</v>
      </c>
      <c r="E264" s="34">
        <v>4</v>
      </c>
      <c r="F264" s="37">
        <v>290</v>
      </c>
      <c r="G264" s="37">
        <f t="shared" si="4"/>
        <v>1160</v>
      </c>
    </row>
    <row r="265" spans="1:7">
      <c r="A265" s="35">
        <v>46112</v>
      </c>
      <c r="B265" s="34" t="s">
        <v>76</v>
      </c>
      <c r="C265" s="34" t="s">
        <v>139</v>
      </c>
      <c r="D265" s="34" t="s">
        <v>175</v>
      </c>
      <c r="E265" s="34">
        <v>4</v>
      </c>
      <c r="F265" s="37">
        <v>290</v>
      </c>
      <c r="G265" s="37">
        <f t="shared" si="4"/>
        <v>1160</v>
      </c>
    </row>
    <row r="266" spans="1:7">
      <c r="A266" s="35">
        <v>46112</v>
      </c>
      <c r="B266" s="34" t="s">
        <v>76</v>
      </c>
      <c r="C266" s="34" t="s">
        <v>143</v>
      </c>
      <c r="D266" s="34" t="s">
        <v>172</v>
      </c>
      <c r="E266" s="34">
        <v>44</v>
      </c>
      <c r="F266" s="37">
        <v>290</v>
      </c>
      <c r="G266" s="37">
        <f t="shared" si="4"/>
        <v>12760</v>
      </c>
    </row>
    <row r="267" spans="1:7">
      <c r="A267" s="35">
        <v>46112</v>
      </c>
      <c r="B267" s="34" t="s">
        <v>76</v>
      </c>
      <c r="C267" s="34" t="s">
        <v>143</v>
      </c>
      <c r="D267" s="34" t="s">
        <v>174</v>
      </c>
      <c r="E267" s="34">
        <v>4</v>
      </c>
      <c r="F267" s="37">
        <v>290</v>
      </c>
      <c r="G267" s="37">
        <f t="shared" si="4"/>
        <v>1160</v>
      </c>
    </row>
    <row r="268" spans="1:7">
      <c r="A268" s="35">
        <v>46112</v>
      </c>
      <c r="B268" s="34" t="s">
        <v>76</v>
      </c>
      <c r="C268" s="34" t="s">
        <v>143</v>
      </c>
      <c r="D268" s="34" t="s">
        <v>175</v>
      </c>
      <c r="E268" s="34">
        <v>5</v>
      </c>
      <c r="F268" s="37">
        <v>290</v>
      </c>
      <c r="G268" s="37">
        <f t="shared" si="4"/>
        <v>1450</v>
      </c>
    </row>
    <row r="269" spans="1:7">
      <c r="A269" s="35">
        <v>46112</v>
      </c>
      <c r="B269" s="34" t="s">
        <v>79</v>
      </c>
      <c r="C269" s="34" t="s">
        <v>139</v>
      </c>
      <c r="D269" s="34" t="s">
        <v>172</v>
      </c>
      <c r="E269" s="34">
        <v>610</v>
      </c>
      <c r="F269" s="37">
        <v>4.5</v>
      </c>
      <c r="G269" s="37">
        <f t="shared" si="4"/>
        <v>2745</v>
      </c>
    </row>
    <row r="270" spans="1:7">
      <c r="A270" s="35">
        <v>46112</v>
      </c>
      <c r="B270" s="34" t="s">
        <v>79</v>
      </c>
      <c r="C270" s="34" t="s">
        <v>139</v>
      </c>
      <c r="D270" s="34" t="s">
        <v>174</v>
      </c>
      <c r="E270" s="34">
        <v>7</v>
      </c>
      <c r="F270" s="37">
        <v>4.5</v>
      </c>
      <c r="G270" s="37">
        <f t="shared" si="4"/>
        <v>31.5</v>
      </c>
    </row>
    <row r="271" spans="1:7">
      <c r="A271" s="35">
        <v>46112</v>
      </c>
      <c r="B271" s="34" t="s">
        <v>79</v>
      </c>
      <c r="C271" s="34" t="s">
        <v>139</v>
      </c>
      <c r="D271" s="34" t="s">
        <v>175</v>
      </c>
      <c r="E271" s="34">
        <v>2</v>
      </c>
      <c r="F271" s="37">
        <v>4.5</v>
      </c>
      <c r="G271" s="37">
        <f t="shared" si="4"/>
        <v>9</v>
      </c>
    </row>
    <row r="272" spans="1:7">
      <c r="A272" s="35">
        <v>46112</v>
      </c>
      <c r="B272" s="34" t="s">
        <v>79</v>
      </c>
      <c r="C272" s="34" t="s">
        <v>143</v>
      </c>
      <c r="D272" s="34" t="s">
        <v>172</v>
      </c>
      <c r="E272" s="34">
        <v>15</v>
      </c>
      <c r="F272" s="37">
        <v>4.5</v>
      </c>
      <c r="G272" s="37">
        <f t="shared" si="4"/>
        <v>67.5</v>
      </c>
    </row>
    <row r="273" spans="1:7">
      <c r="A273" s="35">
        <v>46112</v>
      </c>
      <c r="B273" s="34" t="s">
        <v>79</v>
      </c>
      <c r="C273" s="34" t="s">
        <v>143</v>
      </c>
      <c r="D273" s="34" t="s">
        <v>174</v>
      </c>
      <c r="E273" s="34">
        <v>6</v>
      </c>
      <c r="F273" s="37">
        <v>4.5</v>
      </c>
      <c r="G273" s="37">
        <f t="shared" si="4"/>
        <v>27</v>
      </c>
    </row>
    <row r="274" spans="1:7">
      <c r="A274" s="35">
        <v>46112</v>
      </c>
      <c r="B274" s="34" t="s">
        <v>79</v>
      </c>
      <c r="C274" s="34" t="s">
        <v>143</v>
      </c>
      <c r="D274" s="34" t="s">
        <v>175</v>
      </c>
      <c r="E274" s="34">
        <v>7</v>
      </c>
      <c r="F274" s="37">
        <v>4.5</v>
      </c>
      <c r="G274" s="37">
        <f t="shared" si="4"/>
        <v>31.5</v>
      </c>
    </row>
  </sheetData>
  <mergeCells count="1">
    <mergeCell ref="A1:G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27"/>
  <sheetViews>
    <sheetView workbookViewId="0">
      <selection activeCell="G24" sqref="G24"/>
    </sheetView>
  </sheetViews>
  <sheetFormatPr defaultRowHeight="15.6"/>
  <cols>
    <col min="1" max="1" width="12" style="2" customWidth="1"/>
    <col min="2" max="2" width="9" style="2" customWidth="1"/>
    <col min="3" max="3" width="13" style="2" customWidth="1"/>
    <col min="4" max="4" width="10" style="2" customWidth="1"/>
    <col min="5" max="5" width="13" style="2" customWidth="1"/>
    <col min="6" max="6" width="16" style="2" customWidth="1"/>
    <col min="7" max="7" width="18" style="2" customWidth="1"/>
    <col min="8" max="8" width="19" style="2" customWidth="1"/>
    <col min="9" max="9" width="17" style="2" customWidth="1"/>
    <col min="10" max="11" width="13" style="2" customWidth="1"/>
    <col min="12" max="12" width="15" style="2" customWidth="1"/>
    <col min="13" max="13" width="18" style="2" customWidth="1"/>
    <col min="14" max="17" width="20" style="2" customWidth="1"/>
    <col min="18" max="18" width="14" style="2" customWidth="1"/>
    <col min="19" max="19" width="12" style="2" customWidth="1"/>
    <col min="20" max="20" width="22" style="2" customWidth="1"/>
    <col min="21" max="16384" width="8.796875" style="2"/>
  </cols>
  <sheetData>
    <row r="1" spans="1:20" ht="24.6" customHeight="1">
      <c r="A1" s="32" t="s">
        <v>177</v>
      </c>
      <c r="B1" s="32"/>
      <c r="C1" s="32"/>
      <c r="D1" s="32"/>
      <c r="E1" s="32"/>
      <c r="F1" s="32"/>
      <c r="G1" s="32"/>
      <c r="H1" s="32"/>
      <c r="I1" s="32"/>
      <c r="J1" s="32"/>
      <c r="K1" s="32"/>
      <c r="L1" s="32"/>
      <c r="M1" s="32"/>
      <c r="N1" s="32"/>
      <c r="O1" s="32"/>
      <c r="P1" s="32"/>
      <c r="Q1" s="32"/>
      <c r="R1" s="32"/>
      <c r="S1" s="32"/>
      <c r="T1" s="32"/>
    </row>
    <row r="3" spans="1:20" ht="31.2">
      <c r="A3" s="29" t="s">
        <v>178</v>
      </c>
      <c r="B3" s="29" t="s">
        <v>179</v>
      </c>
      <c r="C3" s="29" t="s">
        <v>100</v>
      </c>
      <c r="D3" s="29" t="s">
        <v>1</v>
      </c>
      <c r="E3" s="29" t="s">
        <v>134</v>
      </c>
      <c r="F3" s="29" t="s">
        <v>180</v>
      </c>
      <c r="G3" s="29" t="s">
        <v>181</v>
      </c>
      <c r="H3" s="29" t="s">
        <v>182</v>
      </c>
      <c r="I3" s="29" t="s">
        <v>183</v>
      </c>
      <c r="J3" s="29" t="s">
        <v>184</v>
      </c>
      <c r="K3" s="29" t="s">
        <v>185</v>
      </c>
      <c r="L3" s="29" t="s">
        <v>186</v>
      </c>
      <c r="M3" s="29" t="s">
        <v>187</v>
      </c>
      <c r="N3" s="29" t="s">
        <v>188</v>
      </c>
      <c r="O3" s="29" t="s">
        <v>189</v>
      </c>
      <c r="P3" s="29" t="s">
        <v>190</v>
      </c>
      <c r="Q3" s="29" t="s">
        <v>191</v>
      </c>
      <c r="R3" s="29" t="s">
        <v>192</v>
      </c>
      <c r="S3" s="29" t="s">
        <v>193</v>
      </c>
      <c r="T3" s="29" t="s">
        <v>194</v>
      </c>
    </row>
    <row r="4" spans="1:20">
      <c r="A4" s="34" t="s">
        <v>195</v>
      </c>
      <c r="B4" s="34">
        <v>10</v>
      </c>
      <c r="C4" s="34" t="s">
        <v>23</v>
      </c>
      <c r="D4" s="34" t="s">
        <v>15</v>
      </c>
      <c r="E4" s="34" t="s">
        <v>139</v>
      </c>
      <c r="F4" s="35">
        <v>46011</v>
      </c>
      <c r="G4" s="35">
        <v>46042</v>
      </c>
      <c r="H4" s="35">
        <v>46044</v>
      </c>
      <c r="I4" s="35">
        <v>46047</v>
      </c>
      <c r="J4" s="34">
        <v>20</v>
      </c>
      <c r="K4" s="34">
        <v>20</v>
      </c>
      <c r="L4" s="37">
        <v>635</v>
      </c>
      <c r="M4" s="34" t="s">
        <v>196</v>
      </c>
      <c r="N4" s="34">
        <v>20</v>
      </c>
      <c r="O4" s="34">
        <v>0</v>
      </c>
      <c r="P4" s="34">
        <f t="shared" ref="P4:P27" si="0">I4-F4</f>
        <v>36</v>
      </c>
      <c r="Q4" s="34">
        <f t="shared" ref="Q4:Q27" si="1">I4-G4</f>
        <v>5</v>
      </c>
      <c r="R4" s="34" t="b">
        <f t="shared" ref="R4:R27" si="2">I4&lt;=G4</f>
        <v>0</v>
      </c>
      <c r="S4" s="34">
        <f t="shared" ref="S4:S27" si="3">MAX(0,J4-K4)</f>
        <v>0</v>
      </c>
      <c r="T4" s="45">
        <f t="shared" ref="T4:T27" si="4">IF(K4=0,0,O4/K4)</f>
        <v>0</v>
      </c>
    </row>
    <row r="5" spans="1:20">
      <c r="A5" s="34" t="s">
        <v>197</v>
      </c>
      <c r="B5" s="34">
        <v>10</v>
      </c>
      <c r="C5" s="34" t="s">
        <v>23</v>
      </c>
      <c r="D5" s="34" t="s">
        <v>15</v>
      </c>
      <c r="E5" s="34" t="s">
        <v>139</v>
      </c>
      <c r="F5" s="35">
        <v>46050</v>
      </c>
      <c r="G5" s="35">
        <v>46071</v>
      </c>
      <c r="H5" s="35">
        <v>46074</v>
      </c>
      <c r="I5" s="35">
        <v>46077</v>
      </c>
      <c r="J5" s="34">
        <v>18</v>
      </c>
      <c r="K5" s="34">
        <v>18</v>
      </c>
      <c r="L5" s="37">
        <v>642</v>
      </c>
      <c r="M5" s="34" t="s">
        <v>196</v>
      </c>
      <c r="N5" s="34">
        <v>18</v>
      </c>
      <c r="O5" s="34">
        <v>0</v>
      </c>
      <c r="P5" s="34">
        <f t="shared" si="0"/>
        <v>27</v>
      </c>
      <c r="Q5" s="34">
        <f t="shared" si="1"/>
        <v>6</v>
      </c>
      <c r="R5" s="34" t="b">
        <f>I5&lt;=G5</f>
        <v>0</v>
      </c>
      <c r="S5" s="34">
        <f t="shared" si="3"/>
        <v>0</v>
      </c>
      <c r="T5" s="45">
        <f t="shared" si="4"/>
        <v>0</v>
      </c>
    </row>
    <row r="6" spans="1:20">
      <c r="A6" s="34" t="s">
        <v>198</v>
      </c>
      <c r="B6" s="34">
        <v>10</v>
      </c>
      <c r="C6" s="34" t="s">
        <v>23</v>
      </c>
      <c r="D6" s="34" t="s">
        <v>15</v>
      </c>
      <c r="E6" s="34" t="s">
        <v>143</v>
      </c>
      <c r="F6" s="35">
        <v>46032</v>
      </c>
      <c r="G6" s="35">
        <v>46063</v>
      </c>
      <c r="H6" s="35">
        <v>46061</v>
      </c>
      <c r="I6" s="35">
        <v>46061</v>
      </c>
      <c r="J6" s="34">
        <v>25</v>
      </c>
      <c r="K6" s="34">
        <v>25</v>
      </c>
      <c r="L6" s="37">
        <v>638</v>
      </c>
      <c r="M6" s="34" t="s">
        <v>196</v>
      </c>
      <c r="N6" s="34">
        <v>25</v>
      </c>
      <c r="O6" s="34">
        <v>0</v>
      </c>
      <c r="P6" s="34">
        <f t="shared" si="0"/>
        <v>29</v>
      </c>
      <c r="Q6" s="34">
        <f t="shared" si="1"/>
        <v>-2</v>
      </c>
      <c r="R6" s="34" t="b">
        <f>I6&lt;=G6</f>
        <v>1</v>
      </c>
      <c r="S6" s="34">
        <f t="shared" si="3"/>
        <v>0</v>
      </c>
      <c r="T6" s="45">
        <f t="shared" si="4"/>
        <v>0</v>
      </c>
    </row>
    <row r="7" spans="1:20">
      <c r="A7" s="34" t="s">
        <v>199</v>
      </c>
      <c r="B7" s="34">
        <v>10</v>
      </c>
      <c r="C7" s="34" t="s">
        <v>28</v>
      </c>
      <c r="D7" s="34" t="s">
        <v>24</v>
      </c>
      <c r="E7" s="34" t="s">
        <v>139</v>
      </c>
      <c r="F7" s="35">
        <v>46027</v>
      </c>
      <c r="G7" s="35">
        <v>46047</v>
      </c>
      <c r="H7" s="35">
        <v>46046</v>
      </c>
      <c r="I7" s="35">
        <v>46046</v>
      </c>
      <c r="J7" s="34">
        <v>40</v>
      </c>
      <c r="K7" s="34">
        <v>40</v>
      </c>
      <c r="L7" s="37">
        <v>80</v>
      </c>
      <c r="M7" s="34" t="s">
        <v>196</v>
      </c>
      <c r="N7" s="34">
        <v>30</v>
      </c>
      <c r="O7" s="34">
        <v>10</v>
      </c>
      <c r="P7" s="34">
        <f t="shared" si="0"/>
        <v>19</v>
      </c>
      <c r="Q7" s="34">
        <f t="shared" si="1"/>
        <v>-1</v>
      </c>
      <c r="R7" s="34" t="b">
        <f t="shared" si="2"/>
        <v>1</v>
      </c>
      <c r="S7" s="34">
        <f t="shared" si="3"/>
        <v>0</v>
      </c>
      <c r="T7" s="45">
        <f t="shared" si="4"/>
        <v>0.25</v>
      </c>
    </row>
    <row r="8" spans="1:20" ht="12.9" customHeight="1">
      <c r="A8" s="34" t="s">
        <v>200</v>
      </c>
      <c r="B8" s="34">
        <v>10</v>
      </c>
      <c r="C8" s="34" t="s">
        <v>28</v>
      </c>
      <c r="D8" s="43" t="s">
        <v>24</v>
      </c>
      <c r="E8" s="34" t="s">
        <v>139</v>
      </c>
      <c r="F8" s="35">
        <v>46055</v>
      </c>
      <c r="G8" s="35">
        <v>46075</v>
      </c>
      <c r="H8" s="35">
        <v>46075</v>
      </c>
      <c r="I8" s="35">
        <v>46076</v>
      </c>
      <c r="J8" s="34">
        <v>35</v>
      </c>
      <c r="K8" s="34">
        <v>35</v>
      </c>
      <c r="L8" s="37">
        <v>83</v>
      </c>
      <c r="M8" s="34" t="s">
        <v>196</v>
      </c>
      <c r="N8" s="34">
        <v>28</v>
      </c>
      <c r="O8" s="34">
        <v>7</v>
      </c>
      <c r="P8" s="34">
        <f t="shared" si="0"/>
        <v>21</v>
      </c>
      <c r="Q8" s="34">
        <f t="shared" si="1"/>
        <v>1</v>
      </c>
      <c r="R8" s="34" t="b">
        <f t="shared" si="2"/>
        <v>0</v>
      </c>
      <c r="S8" s="34">
        <f t="shared" si="3"/>
        <v>0</v>
      </c>
      <c r="T8" s="45">
        <f t="shared" si="4"/>
        <v>0.2</v>
      </c>
    </row>
    <row r="9" spans="1:20">
      <c r="A9" s="34" t="s">
        <v>201</v>
      </c>
      <c r="B9" s="34">
        <v>10</v>
      </c>
      <c r="C9" s="34" t="s">
        <v>40</v>
      </c>
      <c r="D9" s="34" t="s">
        <v>36</v>
      </c>
      <c r="E9" s="34" t="s">
        <v>139</v>
      </c>
      <c r="F9" s="35">
        <v>46006</v>
      </c>
      <c r="G9" s="35">
        <v>46032</v>
      </c>
      <c r="H9" s="35">
        <v>46037</v>
      </c>
      <c r="I9" s="35">
        <v>46042</v>
      </c>
      <c r="J9" s="34">
        <v>12</v>
      </c>
      <c r="K9" s="34">
        <v>12</v>
      </c>
      <c r="L9" s="37">
        <v>415</v>
      </c>
      <c r="M9" s="34" t="s">
        <v>196</v>
      </c>
      <c r="N9" s="34">
        <v>12</v>
      </c>
      <c r="O9" s="34">
        <v>0</v>
      </c>
      <c r="P9" s="34">
        <f t="shared" si="0"/>
        <v>36</v>
      </c>
      <c r="Q9" s="34">
        <f t="shared" si="1"/>
        <v>10</v>
      </c>
      <c r="R9" s="34" t="b">
        <f t="shared" si="2"/>
        <v>0</v>
      </c>
      <c r="S9" s="34">
        <f t="shared" si="3"/>
        <v>0</v>
      </c>
      <c r="T9" s="45">
        <f t="shared" si="4"/>
        <v>0</v>
      </c>
    </row>
    <row r="10" spans="1:20">
      <c r="A10" s="34" t="s">
        <v>202</v>
      </c>
      <c r="B10" s="34">
        <v>10</v>
      </c>
      <c r="C10" s="34" t="s">
        <v>40</v>
      </c>
      <c r="D10" s="34" t="s">
        <v>36</v>
      </c>
      <c r="E10" s="34" t="s">
        <v>139</v>
      </c>
      <c r="F10" s="35">
        <v>46042</v>
      </c>
      <c r="G10" s="44">
        <v>46058</v>
      </c>
      <c r="H10" s="35">
        <v>46071</v>
      </c>
      <c r="I10" s="35">
        <v>46077</v>
      </c>
      <c r="J10" s="34">
        <v>10</v>
      </c>
      <c r="K10" s="34">
        <v>10</v>
      </c>
      <c r="L10" s="37">
        <v>425</v>
      </c>
      <c r="M10" s="34" t="s">
        <v>196</v>
      </c>
      <c r="N10" s="34">
        <v>10</v>
      </c>
      <c r="O10" s="34">
        <v>0</v>
      </c>
      <c r="P10" s="34">
        <f t="shared" si="0"/>
        <v>35</v>
      </c>
      <c r="Q10" s="34">
        <f t="shared" si="1"/>
        <v>19</v>
      </c>
      <c r="R10" s="34" t="b">
        <f t="shared" si="2"/>
        <v>0</v>
      </c>
      <c r="S10" s="34">
        <f t="shared" si="3"/>
        <v>0</v>
      </c>
      <c r="T10" s="45">
        <f t="shared" si="4"/>
        <v>0</v>
      </c>
    </row>
    <row r="11" spans="1:20">
      <c r="A11" s="34" t="s">
        <v>203</v>
      </c>
      <c r="B11" s="34">
        <v>10</v>
      </c>
      <c r="C11" s="34" t="s">
        <v>40</v>
      </c>
      <c r="D11" s="34" t="s">
        <v>36</v>
      </c>
      <c r="E11" s="34" t="s">
        <v>139</v>
      </c>
      <c r="F11" s="35">
        <v>46071</v>
      </c>
      <c r="G11" s="35">
        <v>46086</v>
      </c>
      <c r="H11" s="35">
        <v>46099</v>
      </c>
      <c r="I11" s="35">
        <v>46106</v>
      </c>
      <c r="J11" s="34">
        <v>14</v>
      </c>
      <c r="K11" s="34">
        <v>14</v>
      </c>
      <c r="L11" s="37">
        <v>430</v>
      </c>
      <c r="M11" s="34" t="s">
        <v>196</v>
      </c>
      <c r="N11" s="34">
        <v>14</v>
      </c>
      <c r="O11" s="34">
        <v>0</v>
      </c>
      <c r="P11" s="34">
        <f t="shared" si="0"/>
        <v>35</v>
      </c>
      <c r="Q11" s="34">
        <f t="shared" si="1"/>
        <v>20</v>
      </c>
      <c r="R11" s="34" t="b">
        <f t="shared" si="2"/>
        <v>0</v>
      </c>
      <c r="S11" s="34">
        <f t="shared" si="3"/>
        <v>0</v>
      </c>
      <c r="T11" s="45">
        <f t="shared" si="4"/>
        <v>0</v>
      </c>
    </row>
    <row r="12" spans="1:20">
      <c r="A12" s="34" t="s">
        <v>204</v>
      </c>
      <c r="B12" s="34">
        <v>10</v>
      </c>
      <c r="C12" s="34" t="s">
        <v>44</v>
      </c>
      <c r="D12" s="34" t="s">
        <v>41</v>
      </c>
      <c r="E12" s="34" t="s">
        <v>139</v>
      </c>
      <c r="F12" s="35">
        <v>46034</v>
      </c>
      <c r="G12" s="35">
        <v>46052</v>
      </c>
      <c r="H12" s="35">
        <v>46053</v>
      </c>
      <c r="I12" s="35">
        <v>46055</v>
      </c>
      <c r="J12" s="34">
        <v>30</v>
      </c>
      <c r="K12" s="34">
        <v>30</v>
      </c>
      <c r="L12" s="37">
        <v>172</v>
      </c>
      <c r="M12" s="34" t="s">
        <v>196</v>
      </c>
      <c r="N12" s="34">
        <v>30</v>
      </c>
      <c r="O12" s="34">
        <v>0</v>
      </c>
      <c r="P12" s="34">
        <f t="shared" si="0"/>
        <v>21</v>
      </c>
      <c r="Q12" s="34">
        <f t="shared" si="1"/>
        <v>3</v>
      </c>
      <c r="R12" s="34" t="b">
        <f t="shared" si="2"/>
        <v>0</v>
      </c>
      <c r="S12" s="34">
        <f t="shared" si="3"/>
        <v>0</v>
      </c>
      <c r="T12" s="45">
        <f t="shared" si="4"/>
        <v>0</v>
      </c>
    </row>
    <row r="13" spans="1:20">
      <c r="A13" s="34" t="s">
        <v>205</v>
      </c>
      <c r="B13" s="34">
        <v>10</v>
      </c>
      <c r="C13" s="34" t="s">
        <v>59</v>
      </c>
      <c r="D13" s="34" t="s">
        <v>56</v>
      </c>
      <c r="E13" s="34" t="s">
        <v>139</v>
      </c>
      <c r="F13" s="35">
        <v>46047</v>
      </c>
      <c r="G13" s="35">
        <v>46073</v>
      </c>
      <c r="H13" s="35">
        <v>46073</v>
      </c>
      <c r="I13" s="35">
        <v>46080</v>
      </c>
      <c r="J13" s="34">
        <v>20</v>
      </c>
      <c r="K13" s="34">
        <v>18</v>
      </c>
      <c r="L13" s="37">
        <v>96</v>
      </c>
      <c r="M13" s="34" t="s">
        <v>206</v>
      </c>
      <c r="N13" s="34">
        <v>18</v>
      </c>
      <c r="O13" s="34">
        <v>0</v>
      </c>
      <c r="P13" s="34">
        <f t="shared" si="0"/>
        <v>33</v>
      </c>
      <c r="Q13" s="34">
        <f t="shared" si="1"/>
        <v>7</v>
      </c>
      <c r="R13" s="34" t="b">
        <f t="shared" si="2"/>
        <v>0</v>
      </c>
      <c r="S13" s="34">
        <f t="shared" si="3"/>
        <v>2</v>
      </c>
      <c r="T13" s="45">
        <f t="shared" si="4"/>
        <v>0</v>
      </c>
    </row>
    <row r="14" spans="1:20">
      <c r="A14" s="34" t="s">
        <v>207</v>
      </c>
      <c r="B14" s="34">
        <v>10</v>
      </c>
      <c r="C14" s="34" t="s">
        <v>66</v>
      </c>
      <c r="D14" s="34" t="s">
        <v>60</v>
      </c>
      <c r="E14" s="34" t="s">
        <v>139</v>
      </c>
      <c r="F14" s="44">
        <v>46027</v>
      </c>
      <c r="G14" s="35">
        <v>46037</v>
      </c>
      <c r="H14" s="35">
        <v>46036</v>
      </c>
      <c r="I14" s="35">
        <v>46036</v>
      </c>
      <c r="J14" s="34">
        <v>150</v>
      </c>
      <c r="K14" s="34">
        <v>150</v>
      </c>
      <c r="L14" s="37">
        <v>17.5</v>
      </c>
      <c r="M14" s="34" t="s">
        <v>196</v>
      </c>
      <c r="N14" s="34">
        <v>150</v>
      </c>
      <c r="O14" s="34">
        <v>0</v>
      </c>
      <c r="P14" s="34">
        <f t="shared" si="0"/>
        <v>9</v>
      </c>
      <c r="Q14" s="34">
        <f t="shared" si="1"/>
        <v>-1</v>
      </c>
      <c r="R14" s="34" t="b">
        <f t="shared" si="2"/>
        <v>1</v>
      </c>
      <c r="S14" s="34">
        <f t="shared" si="3"/>
        <v>0</v>
      </c>
      <c r="T14" s="45">
        <f t="shared" si="4"/>
        <v>0</v>
      </c>
    </row>
    <row r="15" spans="1:20">
      <c r="A15" s="34" t="s">
        <v>208</v>
      </c>
      <c r="B15" s="34">
        <v>10</v>
      </c>
      <c r="C15" s="34" t="s">
        <v>66</v>
      </c>
      <c r="D15" s="34" t="s">
        <v>79</v>
      </c>
      <c r="E15" s="34" t="s">
        <v>139</v>
      </c>
      <c r="F15" s="35">
        <v>46027</v>
      </c>
      <c r="G15" s="35">
        <v>46037</v>
      </c>
      <c r="H15" s="35">
        <v>46036</v>
      </c>
      <c r="I15" s="35">
        <v>46036</v>
      </c>
      <c r="J15" s="34">
        <v>300</v>
      </c>
      <c r="K15" s="34">
        <v>300</v>
      </c>
      <c r="L15" s="37">
        <v>4.4000000000000004</v>
      </c>
      <c r="M15" s="34" t="s">
        <v>196</v>
      </c>
      <c r="N15" s="34">
        <v>300</v>
      </c>
      <c r="O15" s="34">
        <v>0</v>
      </c>
      <c r="P15" s="34">
        <f t="shared" si="0"/>
        <v>9</v>
      </c>
      <c r="Q15" s="34">
        <f t="shared" si="1"/>
        <v>-1</v>
      </c>
      <c r="R15" s="34" t="b">
        <f t="shared" si="2"/>
        <v>1</v>
      </c>
      <c r="S15" s="34">
        <f t="shared" si="3"/>
        <v>0</v>
      </c>
      <c r="T15" s="45">
        <f t="shared" si="4"/>
        <v>0</v>
      </c>
    </row>
    <row r="16" spans="1:20">
      <c r="A16" s="34" t="s">
        <v>209</v>
      </c>
      <c r="B16" s="34">
        <v>10</v>
      </c>
      <c r="C16" s="34" t="s">
        <v>35</v>
      </c>
      <c r="D16" s="34" t="s">
        <v>29</v>
      </c>
      <c r="E16" s="34" t="s">
        <v>139</v>
      </c>
      <c r="F16" s="35">
        <v>46025</v>
      </c>
      <c r="G16" s="35">
        <v>46040</v>
      </c>
      <c r="H16" s="35">
        <v>46040</v>
      </c>
      <c r="I16" s="35">
        <v>46044</v>
      </c>
      <c r="J16" s="34">
        <v>52</v>
      </c>
      <c r="K16" s="34">
        <v>52</v>
      </c>
      <c r="L16" s="37">
        <v>45.38</v>
      </c>
      <c r="M16" s="34" t="s">
        <v>196</v>
      </c>
      <c r="N16" s="43">
        <v>52</v>
      </c>
      <c r="O16" s="43">
        <v>0</v>
      </c>
      <c r="P16" s="34">
        <f t="shared" si="0"/>
        <v>19</v>
      </c>
      <c r="Q16" s="34">
        <f t="shared" si="1"/>
        <v>4</v>
      </c>
      <c r="R16" s="34" t="b">
        <f t="shared" si="2"/>
        <v>0</v>
      </c>
      <c r="S16" s="34">
        <f t="shared" si="3"/>
        <v>0</v>
      </c>
      <c r="T16" s="45">
        <f t="shared" si="4"/>
        <v>0</v>
      </c>
    </row>
    <row r="17" spans="1:20">
      <c r="A17" s="34" t="s">
        <v>210</v>
      </c>
      <c r="B17" s="34">
        <v>10</v>
      </c>
      <c r="C17" s="34" t="s">
        <v>49</v>
      </c>
      <c r="D17" s="34" t="s">
        <v>45</v>
      </c>
      <c r="E17" s="34" t="s">
        <v>139</v>
      </c>
      <c r="F17" s="35">
        <v>46025</v>
      </c>
      <c r="G17" s="35">
        <v>46038</v>
      </c>
      <c r="H17" s="35">
        <v>46038</v>
      </c>
      <c r="I17" s="35">
        <v>46038</v>
      </c>
      <c r="J17" s="34">
        <v>53</v>
      </c>
      <c r="K17" s="34">
        <v>53</v>
      </c>
      <c r="L17" s="37">
        <v>221.22</v>
      </c>
      <c r="M17" s="34" t="s">
        <v>196</v>
      </c>
      <c r="N17" s="34">
        <v>53</v>
      </c>
      <c r="O17" s="34">
        <v>0</v>
      </c>
      <c r="P17" s="34">
        <f t="shared" si="0"/>
        <v>13</v>
      </c>
      <c r="Q17" s="34">
        <f t="shared" si="1"/>
        <v>0</v>
      </c>
      <c r="R17" s="34" t="b">
        <f t="shared" si="2"/>
        <v>1</v>
      </c>
      <c r="S17" s="34">
        <f t="shared" si="3"/>
        <v>0</v>
      </c>
      <c r="T17" s="45">
        <f t="shared" si="4"/>
        <v>0</v>
      </c>
    </row>
    <row r="18" spans="1:20">
      <c r="A18" s="34" t="s">
        <v>211</v>
      </c>
      <c r="B18" s="34">
        <v>10</v>
      </c>
      <c r="C18" s="34" t="s">
        <v>49</v>
      </c>
      <c r="D18" s="34" t="s">
        <v>67</v>
      </c>
      <c r="E18" s="34" t="s">
        <v>143</v>
      </c>
      <c r="F18" s="35">
        <v>46025</v>
      </c>
      <c r="G18" s="35">
        <v>46038</v>
      </c>
      <c r="H18" s="35">
        <v>46038</v>
      </c>
      <c r="I18" s="35">
        <v>46042</v>
      </c>
      <c r="J18" s="43">
        <v>31</v>
      </c>
      <c r="K18" s="43">
        <v>31</v>
      </c>
      <c r="L18" s="37">
        <v>146.51</v>
      </c>
      <c r="M18" s="34" t="s">
        <v>196</v>
      </c>
      <c r="N18" s="34">
        <v>31</v>
      </c>
      <c r="O18" s="34">
        <v>0</v>
      </c>
      <c r="P18" s="34">
        <f t="shared" si="0"/>
        <v>17</v>
      </c>
      <c r="Q18" s="34">
        <f t="shared" si="1"/>
        <v>4</v>
      </c>
      <c r="R18" s="34" t="b">
        <f t="shared" si="2"/>
        <v>0</v>
      </c>
      <c r="S18" s="34">
        <f t="shared" si="3"/>
        <v>0</v>
      </c>
      <c r="T18" s="45">
        <f t="shared" si="4"/>
        <v>0</v>
      </c>
    </row>
    <row r="19" spans="1:20">
      <c r="A19" s="34" t="s">
        <v>212</v>
      </c>
      <c r="B19" s="34">
        <v>10</v>
      </c>
      <c r="C19" s="34" t="s">
        <v>44</v>
      </c>
      <c r="D19" s="34" t="s">
        <v>73</v>
      </c>
      <c r="E19" s="34" t="s">
        <v>143</v>
      </c>
      <c r="F19" s="35">
        <v>46025</v>
      </c>
      <c r="G19" s="35">
        <v>46042</v>
      </c>
      <c r="H19" s="35">
        <v>46042</v>
      </c>
      <c r="I19" s="35">
        <v>46042</v>
      </c>
      <c r="J19" s="34">
        <v>31</v>
      </c>
      <c r="K19" s="34">
        <v>31</v>
      </c>
      <c r="L19" s="37">
        <v>27.64</v>
      </c>
      <c r="M19" s="34" t="s">
        <v>196</v>
      </c>
      <c r="N19" s="34">
        <v>31</v>
      </c>
      <c r="O19" s="34">
        <v>0</v>
      </c>
      <c r="P19" s="34">
        <f t="shared" si="0"/>
        <v>17</v>
      </c>
      <c r="Q19" s="34">
        <f t="shared" si="1"/>
        <v>0</v>
      </c>
      <c r="R19" s="34" t="b">
        <f t="shared" si="2"/>
        <v>1</v>
      </c>
      <c r="S19" s="34">
        <f t="shared" si="3"/>
        <v>0</v>
      </c>
      <c r="T19" s="45">
        <f t="shared" si="4"/>
        <v>0</v>
      </c>
    </row>
    <row r="20" spans="1:20">
      <c r="A20" s="34" t="s">
        <v>213</v>
      </c>
      <c r="B20" s="34">
        <v>10</v>
      </c>
      <c r="C20" s="34" t="s">
        <v>35</v>
      </c>
      <c r="D20" s="34" t="s">
        <v>29</v>
      </c>
      <c r="E20" s="34" t="s">
        <v>139</v>
      </c>
      <c r="F20" s="35">
        <v>46056</v>
      </c>
      <c r="G20" s="35">
        <v>46071</v>
      </c>
      <c r="H20" s="35">
        <v>46071</v>
      </c>
      <c r="I20" s="35">
        <v>46070</v>
      </c>
      <c r="J20" s="34">
        <v>55</v>
      </c>
      <c r="K20" s="34">
        <v>55</v>
      </c>
      <c r="L20" s="37">
        <v>45.22</v>
      </c>
      <c r="M20" s="34" t="s">
        <v>196</v>
      </c>
      <c r="N20" s="34">
        <v>55</v>
      </c>
      <c r="O20" s="34">
        <v>0</v>
      </c>
      <c r="P20" s="34">
        <f t="shared" si="0"/>
        <v>14</v>
      </c>
      <c r="Q20" s="34">
        <f t="shared" si="1"/>
        <v>-1</v>
      </c>
      <c r="R20" s="34" t="b">
        <f t="shared" si="2"/>
        <v>1</v>
      </c>
      <c r="S20" s="34">
        <f t="shared" si="3"/>
        <v>0</v>
      </c>
      <c r="T20" s="45">
        <f t="shared" si="4"/>
        <v>0</v>
      </c>
    </row>
    <row r="21" spans="1:20">
      <c r="A21" s="34" t="s">
        <v>214</v>
      </c>
      <c r="B21" s="34">
        <v>10</v>
      </c>
      <c r="C21" s="34" t="s">
        <v>49</v>
      </c>
      <c r="D21" s="34" t="s">
        <v>45</v>
      </c>
      <c r="E21" s="34" t="s">
        <v>139</v>
      </c>
      <c r="F21" s="35">
        <v>46056</v>
      </c>
      <c r="G21" s="35">
        <v>46069</v>
      </c>
      <c r="H21" s="35">
        <v>46069</v>
      </c>
      <c r="I21" s="35">
        <v>46073</v>
      </c>
      <c r="J21" s="43">
        <v>26</v>
      </c>
      <c r="K21" s="43">
        <v>26</v>
      </c>
      <c r="L21" s="37">
        <v>225.32</v>
      </c>
      <c r="M21" s="34" t="s">
        <v>196</v>
      </c>
      <c r="N21" s="34">
        <v>26</v>
      </c>
      <c r="O21" s="34">
        <v>0</v>
      </c>
      <c r="P21" s="34">
        <f t="shared" si="0"/>
        <v>17</v>
      </c>
      <c r="Q21" s="34">
        <f t="shared" si="1"/>
        <v>4</v>
      </c>
      <c r="R21" s="34" t="b">
        <f t="shared" si="2"/>
        <v>0</v>
      </c>
      <c r="S21" s="34">
        <f t="shared" si="3"/>
        <v>0</v>
      </c>
      <c r="T21" s="45">
        <f t="shared" si="4"/>
        <v>0</v>
      </c>
    </row>
    <row r="22" spans="1:20">
      <c r="A22" s="34" t="s">
        <v>215</v>
      </c>
      <c r="B22" s="34">
        <v>10</v>
      </c>
      <c r="C22" s="34" t="s">
        <v>49</v>
      </c>
      <c r="D22" s="34" t="s">
        <v>67</v>
      </c>
      <c r="E22" s="34" t="s">
        <v>143</v>
      </c>
      <c r="F22" s="35">
        <v>46056</v>
      </c>
      <c r="G22" s="35">
        <v>46069</v>
      </c>
      <c r="H22" s="35">
        <v>46069</v>
      </c>
      <c r="I22" s="35">
        <v>46068</v>
      </c>
      <c r="J22" s="34">
        <v>35</v>
      </c>
      <c r="K22" s="34">
        <v>35</v>
      </c>
      <c r="L22" s="37">
        <v>143.49</v>
      </c>
      <c r="M22" s="34" t="s">
        <v>196</v>
      </c>
      <c r="N22" s="34">
        <v>35</v>
      </c>
      <c r="O22" s="34">
        <v>0</v>
      </c>
      <c r="P22" s="34">
        <f t="shared" si="0"/>
        <v>12</v>
      </c>
      <c r="Q22" s="34">
        <f t="shared" si="1"/>
        <v>-1</v>
      </c>
      <c r="R22" s="34" t="b">
        <f t="shared" si="2"/>
        <v>1</v>
      </c>
      <c r="S22" s="34">
        <f t="shared" si="3"/>
        <v>0</v>
      </c>
      <c r="T22" s="45">
        <f t="shared" si="4"/>
        <v>0</v>
      </c>
    </row>
    <row r="23" spans="1:20">
      <c r="A23" s="34" t="s">
        <v>216</v>
      </c>
      <c r="B23" s="34">
        <v>10</v>
      </c>
      <c r="C23" s="43" t="s">
        <v>44</v>
      </c>
      <c r="D23" s="34" t="s">
        <v>73</v>
      </c>
      <c r="E23" s="34" t="s">
        <v>143</v>
      </c>
      <c r="F23" s="35">
        <v>46056</v>
      </c>
      <c r="G23" s="35">
        <v>46073</v>
      </c>
      <c r="H23" s="35">
        <v>46073</v>
      </c>
      <c r="I23" s="35">
        <v>46072</v>
      </c>
      <c r="J23" s="34">
        <v>26</v>
      </c>
      <c r="K23" s="34">
        <v>26</v>
      </c>
      <c r="L23" s="37">
        <v>28.15</v>
      </c>
      <c r="M23" s="34" t="s">
        <v>196</v>
      </c>
      <c r="N23" s="34">
        <v>26</v>
      </c>
      <c r="O23" s="34">
        <v>0</v>
      </c>
      <c r="P23" s="34">
        <f t="shared" si="0"/>
        <v>16</v>
      </c>
      <c r="Q23" s="34">
        <f t="shared" si="1"/>
        <v>-1</v>
      </c>
      <c r="R23" s="34" t="b">
        <f t="shared" si="2"/>
        <v>1</v>
      </c>
      <c r="S23" s="34">
        <f t="shared" si="3"/>
        <v>0</v>
      </c>
      <c r="T23" s="45">
        <f t="shared" si="4"/>
        <v>0</v>
      </c>
    </row>
    <row r="24" spans="1:20">
      <c r="A24" s="34" t="s">
        <v>217</v>
      </c>
      <c r="B24" s="34">
        <v>10</v>
      </c>
      <c r="C24" s="34" t="s">
        <v>35</v>
      </c>
      <c r="D24" s="34" t="s">
        <v>29</v>
      </c>
      <c r="E24" s="34" t="s">
        <v>139</v>
      </c>
      <c r="F24" s="35">
        <v>46084</v>
      </c>
      <c r="G24" s="35">
        <v>46099</v>
      </c>
      <c r="H24" s="35">
        <v>46099</v>
      </c>
      <c r="I24" s="35">
        <v>46098</v>
      </c>
      <c r="J24" s="34">
        <v>24</v>
      </c>
      <c r="K24" s="34">
        <v>24</v>
      </c>
      <c r="L24" s="37">
        <v>46.1</v>
      </c>
      <c r="M24" s="34" t="s">
        <v>196</v>
      </c>
      <c r="N24" s="34">
        <v>24</v>
      </c>
      <c r="O24" s="34">
        <v>0</v>
      </c>
      <c r="P24" s="34">
        <f t="shared" si="0"/>
        <v>14</v>
      </c>
      <c r="Q24" s="34">
        <f t="shared" si="1"/>
        <v>-1</v>
      </c>
      <c r="R24" s="34" t="b">
        <f t="shared" si="2"/>
        <v>1</v>
      </c>
      <c r="S24" s="34">
        <f t="shared" si="3"/>
        <v>0</v>
      </c>
      <c r="T24" s="45">
        <f t="shared" si="4"/>
        <v>0</v>
      </c>
    </row>
    <row r="25" spans="1:20">
      <c r="A25" s="34" t="s">
        <v>218</v>
      </c>
      <c r="B25" s="34">
        <v>10</v>
      </c>
      <c r="C25" s="34" t="s">
        <v>49</v>
      </c>
      <c r="D25" s="34" t="s">
        <v>45</v>
      </c>
      <c r="E25" s="34" t="s">
        <v>139</v>
      </c>
      <c r="F25" s="35">
        <v>46084</v>
      </c>
      <c r="G25" s="35">
        <v>46097</v>
      </c>
      <c r="H25" s="35">
        <v>46097</v>
      </c>
      <c r="I25" s="35">
        <v>46097</v>
      </c>
      <c r="J25" s="34">
        <v>37</v>
      </c>
      <c r="K25" s="34">
        <v>37</v>
      </c>
      <c r="L25" s="46">
        <v>220.58</v>
      </c>
      <c r="M25" s="34" t="s">
        <v>196</v>
      </c>
      <c r="N25" s="34">
        <v>37</v>
      </c>
      <c r="O25" s="34">
        <v>0</v>
      </c>
      <c r="P25" s="34">
        <f t="shared" si="0"/>
        <v>13</v>
      </c>
      <c r="Q25" s="34">
        <f t="shared" si="1"/>
        <v>0</v>
      </c>
      <c r="R25" s="34" t="b">
        <f t="shared" si="2"/>
        <v>1</v>
      </c>
      <c r="S25" s="34">
        <f t="shared" si="3"/>
        <v>0</v>
      </c>
      <c r="T25" s="45">
        <f t="shared" si="4"/>
        <v>0</v>
      </c>
    </row>
    <row r="26" spans="1:20">
      <c r="A26" s="34" t="s">
        <v>219</v>
      </c>
      <c r="B26" s="34">
        <v>10</v>
      </c>
      <c r="C26" s="34" t="s">
        <v>49</v>
      </c>
      <c r="D26" s="34" t="s">
        <v>67</v>
      </c>
      <c r="E26" s="34" t="s">
        <v>143</v>
      </c>
      <c r="F26" s="35">
        <v>46084</v>
      </c>
      <c r="G26" s="35">
        <v>46097</v>
      </c>
      <c r="H26" s="35">
        <v>46097</v>
      </c>
      <c r="I26" s="35">
        <v>46101</v>
      </c>
      <c r="J26" s="34">
        <v>52</v>
      </c>
      <c r="K26" s="34">
        <v>52</v>
      </c>
      <c r="L26" s="37">
        <v>148.93</v>
      </c>
      <c r="M26" s="34" t="s">
        <v>196</v>
      </c>
      <c r="N26" s="34">
        <v>52</v>
      </c>
      <c r="O26" s="34">
        <v>0</v>
      </c>
      <c r="P26" s="34">
        <f t="shared" si="0"/>
        <v>17</v>
      </c>
      <c r="Q26" s="34">
        <f t="shared" si="1"/>
        <v>4</v>
      </c>
      <c r="R26" s="34" t="b">
        <f t="shared" si="2"/>
        <v>0</v>
      </c>
      <c r="S26" s="34">
        <f t="shared" si="3"/>
        <v>0</v>
      </c>
      <c r="T26" s="45">
        <f t="shared" si="4"/>
        <v>0</v>
      </c>
    </row>
    <row r="27" spans="1:20">
      <c r="A27" s="34" t="s">
        <v>220</v>
      </c>
      <c r="B27" s="34">
        <v>10</v>
      </c>
      <c r="C27" s="34" t="s">
        <v>44</v>
      </c>
      <c r="D27" s="34" t="s">
        <v>73</v>
      </c>
      <c r="E27" s="34" t="s">
        <v>143</v>
      </c>
      <c r="F27" s="35">
        <v>46084</v>
      </c>
      <c r="G27" s="35">
        <v>46101</v>
      </c>
      <c r="H27" s="35">
        <v>46101</v>
      </c>
      <c r="I27" s="35">
        <v>46103</v>
      </c>
      <c r="J27" s="34">
        <v>55</v>
      </c>
      <c r="K27" s="34">
        <v>55</v>
      </c>
      <c r="L27" s="37">
        <v>28.69</v>
      </c>
      <c r="M27" s="34" t="s">
        <v>196</v>
      </c>
      <c r="N27" s="34">
        <v>55</v>
      </c>
      <c r="O27" s="34">
        <v>0</v>
      </c>
      <c r="P27" s="34">
        <f t="shared" si="0"/>
        <v>19</v>
      </c>
      <c r="Q27" s="34">
        <f t="shared" si="1"/>
        <v>2</v>
      </c>
      <c r="R27" s="34" t="b">
        <f t="shared" si="2"/>
        <v>0</v>
      </c>
      <c r="S27" s="34">
        <f t="shared" si="3"/>
        <v>0</v>
      </c>
      <c r="T27" s="45">
        <f t="shared" si="4"/>
        <v>0</v>
      </c>
    </row>
  </sheetData>
  <mergeCells count="1">
    <mergeCell ref="A1:T1"/>
  </mergeCells>
  <conditionalFormatting sqref="Q4:Q27">
    <cfRule type="cellIs" dxfId="5" priority="1" operator="greaterThan">
      <formula>0</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18"/>
  <sheetViews>
    <sheetView workbookViewId="0">
      <selection activeCell="F18" sqref="F18"/>
    </sheetView>
  </sheetViews>
  <sheetFormatPr defaultRowHeight="15.6"/>
  <cols>
    <col min="1" max="1" width="20" style="2" customWidth="1"/>
    <col min="2" max="2" width="19" style="2" customWidth="1"/>
    <col min="3" max="3" width="13" style="2" customWidth="1"/>
    <col min="4" max="4" width="10.296875" style="2" customWidth="1"/>
    <col min="5" max="8" width="17" style="2" customWidth="1"/>
    <col min="9" max="9" width="13" style="2" customWidth="1"/>
    <col min="10" max="10" width="12" style="2" customWidth="1"/>
    <col min="11" max="11" width="16" style="2" customWidth="1"/>
    <col min="12" max="13" width="22" style="2" customWidth="1"/>
    <col min="14" max="14" width="18" style="2" customWidth="1"/>
    <col min="15" max="15" width="21" style="2" customWidth="1"/>
    <col min="16" max="16" width="20" style="2" customWidth="1"/>
    <col min="17" max="17" width="22" style="2" customWidth="1"/>
    <col min="18" max="16384" width="8.796875" style="2"/>
  </cols>
  <sheetData>
    <row r="1" spans="1:17" ht="24.6" customHeight="1">
      <c r="A1" s="32" t="s">
        <v>221</v>
      </c>
      <c r="B1" s="32"/>
      <c r="C1" s="32"/>
      <c r="D1" s="32"/>
      <c r="E1" s="32"/>
      <c r="F1" s="32"/>
      <c r="G1" s="32"/>
      <c r="H1" s="32"/>
      <c r="I1" s="32"/>
      <c r="J1" s="32"/>
      <c r="K1" s="32"/>
      <c r="L1" s="32"/>
      <c r="M1" s="32"/>
      <c r="N1" s="32"/>
      <c r="O1" s="32"/>
      <c r="P1" s="32"/>
      <c r="Q1" s="32"/>
    </row>
    <row r="3" spans="1:17" ht="31.2">
      <c r="A3" s="29" t="s">
        <v>222</v>
      </c>
      <c r="B3" s="29" t="s">
        <v>152</v>
      </c>
      <c r="C3" s="29" t="s">
        <v>134</v>
      </c>
      <c r="D3" s="29" t="s">
        <v>223</v>
      </c>
      <c r="E3" s="29" t="s">
        <v>224</v>
      </c>
      <c r="F3" s="29" t="s">
        <v>225</v>
      </c>
      <c r="G3" s="29" t="s">
        <v>226</v>
      </c>
      <c r="H3" s="29" t="s">
        <v>227</v>
      </c>
      <c r="I3" s="29" t="s">
        <v>228</v>
      </c>
      <c r="J3" s="29" t="s">
        <v>229</v>
      </c>
      <c r="K3" s="29" t="s">
        <v>230</v>
      </c>
      <c r="L3" s="29" t="s">
        <v>231</v>
      </c>
      <c r="M3" s="29" t="s">
        <v>232</v>
      </c>
      <c r="N3" s="29" t="s">
        <v>233</v>
      </c>
      <c r="O3" s="29" t="s">
        <v>234</v>
      </c>
      <c r="P3" s="29" t="s">
        <v>235</v>
      </c>
      <c r="Q3" s="29" t="s">
        <v>236</v>
      </c>
    </row>
    <row r="4" spans="1:17">
      <c r="A4" s="34" t="s">
        <v>237</v>
      </c>
      <c r="B4" s="34" t="s">
        <v>84</v>
      </c>
      <c r="C4" s="34" t="s">
        <v>139</v>
      </c>
      <c r="D4" s="35">
        <v>46030</v>
      </c>
      <c r="E4" s="35">
        <v>46037</v>
      </c>
      <c r="F4" s="35">
        <v>46039</v>
      </c>
      <c r="G4" s="35">
        <v>46040</v>
      </c>
      <c r="H4" s="35">
        <v>46044</v>
      </c>
      <c r="I4" s="34">
        <v>12</v>
      </c>
      <c r="J4" s="34">
        <v>12</v>
      </c>
      <c r="K4" s="34" t="s">
        <v>238</v>
      </c>
      <c r="L4" s="34" t="s">
        <v>239</v>
      </c>
      <c r="M4" s="41" t="b">
        <v>1</v>
      </c>
      <c r="N4" s="34" t="s">
        <v>122</v>
      </c>
      <c r="O4" s="34">
        <f t="shared" ref="O4:P18" si="0">G4-E4</f>
        <v>3</v>
      </c>
      <c r="P4" s="34">
        <f t="shared" si="0"/>
        <v>5</v>
      </c>
      <c r="Q4" s="34">
        <f t="shared" ref="Q4:Q18" si="1">H4-G4</f>
        <v>4</v>
      </c>
    </row>
    <row r="5" spans="1:17">
      <c r="A5" s="34" t="s">
        <v>240</v>
      </c>
      <c r="B5" s="34" t="s">
        <v>88</v>
      </c>
      <c r="C5" s="34" t="s">
        <v>139</v>
      </c>
      <c r="D5" s="35">
        <v>46035</v>
      </c>
      <c r="E5" s="35">
        <v>46042</v>
      </c>
      <c r="F5" s="35">
        <v>46046</v>
      </c>
      <c r="G5" s="35">
        <v>46047</v>
      </c>
      <c r="H5" s="35">
        <v>46053</v>
      </c>
      <c r="I5" s="34">
        <v>8</v>
      </c>
      <c r="J5" s="34">
        <v>8</v>
      </c>
      <c r="K5" s="34" t="s">
        <v>238</v>
      </c>
      <c r="L5" s="34" t="s">
        <v>239</v>
      </c>
      <c r="M5" s="42" t="b">
        <v>1</v>
      </c>
      <c r="N5" s="34" t="s">
        <v>122</v>
      </c>
      <c r="O5" s="34">
        <f t="shared" si="0"/>
        <v>5</v>
      </c>
      <c r="P5" s="34">
        <f t="shared" si="0"/>
        <v>7</v>
      </c>
      <c r="Q5" s="34">
        <f t="shared" si="1"/>
        <v>6</v>
      </c>
    </row>
    <row r="6" spans="1:17">
      <c r="A6" s="34" t="s">
        <v>241</v>
      </c>
      <c r="B6" s="43" t="s">
        <v>90</v>
      </c>
      <c r="C6" s="34" t="s">
        <v>143</v>
      </c>
      <c r="D6" s="35">
        <v>46033</v>
      </c>
      <c r="E6" s="35">
        <v>46040</v>
      </c>
      <c r="F6" s="35">
        <v>46040</v>
      </c>
      <c r="G6" s="35">
        <v>46049</v>
      </c>
      <c r="H6" s="35">
        <v>46049</v>
      </c>
      <c r="I6" s="34">
        <v>4</v>
      </c>
      <c r="J6" s="34">
        <v>4</v>
      </c>
      <c r="K6" s="34" t="s">
        <v>238</v>
      </c>
      <c r="L6" s="34" t="s">
        <v>242</v>
      </c>
      <c r="M6" s="41" t="b">
        <v>0</v>
      </c>
      <c r="N6" s="34" t="s">
        <v>65</v>
      </c>
      <c r="O6" s="34">
        <f t="shared" si="0"/>
        <v>9</v>
      </c>
      <c r="P6" s="34">
        <f t="shared" si="0"/>
        <v>9</v>
      </c>
      <c r="Q6" s="34">
        <f t="shared" si="1"/>
        <v>0</v>
      </c>
    </row>
    <row r="7" spans="1:17">
      <c r="A7" s="34" t="s">
        <v>243</v>
      </c>
      <c r="B7" s="34" t="s">
        <v>93</v>
      </c>
      <c r="C7" s="34" t="s">
        <v>139</v>
      </c>
      <c r="D7" s="35">
        <v>46040</v>
      </c>
      <c r="E7" s="35">
        <v>46047</v>
      </c>
      <c r="F7" s="35">
        <v>46051</v>
      </c>
      <c r="G7" s="35">
        <v>46055</v>
      </c>
      <c r="H7" s="35">
        <v>46061</v>
      </c>
      <c r="I7" s="34">
        <v>5</v>
      </c>
      <c r="J7" s="34">
        <v>5</v>
      </c>
      <c r="K7" s="34" t="s">
        <v>238</v>
      </c>
      <c r="L7" s="34" t="s">
        <v>244</v>
      </c>
      <c r="M7" s="41" t="b">
        <v>1</v>
      </c>
      <c r="N7" s="34" t="s">
        <v>245</v>
      </c>
      <c r="O7" s="34">
        <f t="shared" si="0"/>
        <v>8</v>
      </c>
      <c r="P7" s="34">
        <f t="shared" si="0"/>
        <v>10</v>
      </c>
      <c r="Q7" s="34">
        <f t="shared" si="1"/>
        <v>6</v>
      </c>
    </row>
    <row r="8" spans="1:17">
      <c r="A8" s="34" t="s">
        <v>246</v>
      </c>
      <c r="B8" s="34" t="s">
        <v>96</v>
      </c>
      <c r="C8" s="34" t="s">
        <v>143</v>
      </c>
      <c r="D8" s="35">
        <v>46037</v>
      </c>
      <c r="E8" s="35">
        <v>46044</v>
      </c>
      <c r="F8" s="35">
        <v>46044</v>
      </c>
      <c r="G8" s="35">
        <v>46050</v>
      </c>
      <c r="H8" s="35">
        <v>46051</v>
      </c>
      <c r="I8" s="34">
        <v>10</v>
      </c>
      <c r="J8" s="34">
        <v>10</v>
      </c>
      <c r="K8" s="34" t="s">
        <v>238</v>
      </c>
      <c r="L8" s="34" t="s">
        <v>247</v>
      </c>
      <c r="M8" s="41" t="b">
        <v>0</v>
      </c>
      <c r="N8" s="34" t="s">
        <v>65</v>
      </c>
      <c r="O8" s="34">
        <f t="shared" si="0"/>
        <v>6</v>
      </c>
      <c r="P8" s="34">
        <f t="shared" si="0"/>
        <v>7</v>
      </c>
      <c r="Q8" s="34">
        <f t="shared" si="1"/>
        <v>1</v>
      </c>
    </row>
    <row r="9" spans="1:17">
      <c r="A9" s="34" t="s">
        <v>248</v>
      </c>
      <c r="B9" s="34" t="s">
        <v>84</v>
      </c>
      <c r="C9" s="34" t="s">
        <v>139</v>
      </c>
      <c r="D9" s="35">
        <v>46056</v>
      </c>
      <c r="E9" s="35">
        <v>46063</v>
      </c>
      <c r="F9" s="35">
        <v>46068</v>
      </c>
      <c r="G9" s="35">
        <v>46066</v>
      </c>
      <c r="H9" s="35">
        <v>46072</v>
      </c>
      <c r="I9" s="34">
        <v>15</v>
      </c>
      <c r="J9" s="34">
        <v>15</v>
      </c>
      <c r="K9" s="34" t="s">
        <v>238</v>
      </c>
      <c r="L9" s="34" t="s">
        <v>249</v>
      </c>
      <c r="M9" s="41" t="b">
        <v>1</v>
      </c>
      <c r="N9" s="34" t="s">
        <v>245</v>
      </c>
      <c r="O9" s="34">
        <f t="shared" si="0"/>
        <v>3</v>
      </c>
      <c r="P9" s="34">
        <f t="shared" si="0"/>
        <v>4</v>
      </c>
      <c r="Q9" s="34">
        <f t="shared" si="1"/>
        <v>6</v>
      </c>
    </row>
    <row r="10" spans="1:17">
      <c r="A10" s="34" t="s">
        <v>250</v>
      </c>
      <c r="B10" s="34" t="s">
        <v>88</v>
      </c>
      <c r="C10" s="34" t="s">
        <v>139</v>
      </c>
      <c r="D10" s="35">
        <v>46058</v>
      </c>
      <c r="E10" s="35">
        <v>46065</v>
      </c>
      <c r="F10" s="35">
        <v>46069</v>
      </c>
      <c r="G10" s="44">
        <v>46071</v>
      </c>
      <c r="H10" s="35">
        <v>46076</v>
      </c>
      <c r="I10" s="34">
        <v>10</v>
      </c>
      <c r="J10" s="34">
        <v>9</v>
      </c>
      <c r="K10" s="34" t="s">
        <v>238</v>
      </c>
      <c r="L10" s="34" t="s">
        <v>239</v>
      </c>
      <c r="M10" s="41" t="b">
        <v>1</v>
      </c>
      <c r="N10" s="34" t="s">
        <v>122</v>
      </c>
      <c r="O10" s="34">
        <f t="shared" si="0"/>
        <v>6</v>
      </c>
      <c r="P10" s="34">
        <f t="shared" si="0"/>
        <v>7</v>
      </c>
      <c r="Q10" s="34">
        <f t="shared" si="1"/>
        <v>5</v>
      </c>
    </row>
    <row r="11" spans="1:17">
      <c r="A11" s="34" t="s">
        <v>251</v>
      </c>
      <c r="B11" s="34" t="s">
        <v>90</v>
      </c>
      <c r="C11" s="34" t="s">
        <v>143</v>
      </c>
      <c r="D11" s="35">
        <v>46061</v>
      </c>
      <c r="E11" s="35">
        <v>46068</v>
      </c>
      <c r="F11" s="35">
        <v>46068</v>
      </c>
      <c r="G11" s="35">
        <v>46077</v>
      </c>
      <c r="H11" s="35">
        <v>46077</v>
      </c>
      <c r="I11" s="34">
        <v>5</v>
      </c>
      <c r="J11" s="34">
        <v>5</v>
      </c>
      <c r="K11" s="34" t="s">
        <v>238</v>
      </c>
      <c r="L11" s="34" t="s">
        <v>242</v>
      </c>
      <c r="M11" s="41" t="b">
        <v>0</v>
      </c>
      <c r="N11" s="34" t="s">
        <v>65</v>
      </c>
      <c r="O11" s="34">
        <f t="shared" si="0"/>
        <v>9</v>
      </c>
      <c r="P11" s="34">
        <f t="shared" si="0"/>
        <v>9</v>
      </c>
      <c r="Q11" s="34">
        <f t="shared" si="1"/>
        <v>0</v>
      </c>
    </row>
    <row r="12" spans="1:17">
      <c r="A12" s="34" t="s">
        <v>252</v>
      </c>
      <c r="B12" s="34" t="s">
        <v>93</v>
      </c>
      <c r="C12" s="34" t="s">
        <v>139</v>
      </c>
      <c r="D12" s="35">
        <v>46064</v>
      </c>
      <c r="E12" s="35">
        <v>46071</v>
      </c>
      <c r="F12" s="35">
        <v>46076</v>
      </c>
      <c r="G12" s="35">
        <v>46079</v>
      </c>
      <c r="H12" s="44">
        <v>46086</v>
      </c>
      <c r="I12" s="34">
        <v>6</v>
      </c>
      <c r="J12" s="34">
        <v>6</v>
      </c>
      <c r="K12" s="34" t="s">
        <v>238</v>
      </c>
      <c r="L12" s="34" t="s">
        <v>244</v>
      </c>
      <c r="M12" s="41" t="b">
        <v>1</v>
      </c>
      <c r="N12" s="34" t="s">
        <v>245</v>
      </c>
      <c r="O12" s="34">
        <f t="shared" si="0"/>
        <v>8</v>
      </c>
      <c r="P12" s="34">
        <f t="shared" si="0"/>
        <v>10</v>
      </c>
      <c r="Q12" s="34">
        <f t="shared" si="1"/>
        <v>7</v>
      </c>
    </row>
    <row r="13" spans="1:17">
      <c r="A13" s="34" t="s">
        <v>253</v>
      </c>
      <c r="B13" s="34" t="s">
        <v>96</v>
      </c>
      <c r="C13" s="34" t="s">
        <v>143</v>
      </c>
      <c r="D13" s="35">
        <v>46066</v>
      </c>
      <c r="E13" s="35">
        <v>46073</v>
      </c>
      <c r="F13" s="35">
        <v>46073</v>
      </c>
      <c r="G13" s="35">
        <v>46079</v>
      </c>
      <c r="H13" s="35">
        <v>46079</v>
      </c>
      <c r="I13" s="34">
        <v>12</v>
      </c>
      <c r="J13" s="34">
        <v>12</v>
      </c>
      <c r="K13" s="34" t="s">
        <v>238</v>
      </c>
      <c r="L13" s="34" t="s">
        <v>242</v>
      </c>
      <c r="M13" s="41" t="b">
        <v>0</v>
      </c>
      <c r="N13" s="34" t="s">
        <v>65</v>
      </c>
      <c r="O13" s="34">
        <f t="shared" si="0"/>
        <v>6</v>
      </c>
      <c r="P13" s="34">
        <f t="shared" si="0"/>
        <v>6</v>
      </c>
      <c r="Q13" s="34">
        <f t="shared" si="1"/>
        <v>0</v>
      </c>
    </row>
    <row r="14" spans="1:17">
      <c r="A14" s="34" t="s">
        <v>254</v>
      </c>
      <c r="B14" s="34" t="s">
        <v>84</v>
      </c>
      <c r="C14" s="34" t="s">
        <v>139</v>
      </c>
      <c r="D14" s="35">
        <v>46082</v>
      </c>
      <c r="E14" s="35">
        <v>46089</v>
      </c>
      <c r="F14" s="35">
        <v>46093</v>
      </c>
      <c r="G14" s="35">
        <v>46092</v>
      </c>
      <c r="H14" s="35">
        <v>46098</v>
      </c>
      <c r="I14" s="34">
        <v>14</v>
      </c>
      <c r="J14" s="34">
        <v>14</v>
      </c>
      <c r="K14" s="34" t="s">
        <v>238</v>
      </c>
      <c r="L14" s="34" t="s">
        <v>239</v>
      </c>
      <c r="M14" s="41" t="b">
        <v>1</v>
      </c>
      <c r="N14" s="34" t="s">
        <v>122</v>
      </c>
      <c r="O14" s="34">
        <f t="shared" si="0"/>
        <v>3</v>
      </c>
      <c r="P14" s="34">
        <f t="shared" si="0"/>
        <v>5</v>
      </c>
      <c r="Q14" s="34">
        <f t="shared" si="1"/>
        <v>6</v>
      </c>
    </row>
    <row r="15" spans="1:17">
      <c r="A15" s="34" t="s">
        <v>255</v>
      </c>
      <c r="B15" s="34" t="s">
        <v>88</v>
      </c>
      <c r="C15" s="34" t="s">
        <v>139</v>
      </c>
      <c r="D15" s="35">
        <v>46084</v>
      </c>
      <c r="E15" s="35">
        <v>46091</v>
      </c>
      <c r="F15" s="35">
        <v>46095</v>
      </c>
      <c r="G15" s="35">
        <v>46097</v>
      </c>
      <c r="H15" s="35">
        <v>46102</v>
      </c>
      <c r="I15" s="34">
        <v>9</v>
      </c>
      <c r="J15" s="34">
        <v>9</v>
      </c>
      <c r="K15" s="34" t="s">
        <v>238</v>
      </c>
      <c r="L15" s="34" t="s">
        <v>239</v>
      </c>
      <c r="M15" s="41" t="b">
        <v>1</v>
      </c>
      <c r="N15" s="34" t="s">
        <v>122</v>
      </c>
      <c r="O15" s="34">
        <f t="shared" si="0"/>
        <v>6</v>
      </c>
      <c r="P15" s="34">
        <f t="shared" si="0"/>
        <v>7</v>
      </c>
      <c r="Q15" s="34">
        <f t="shared" si="1"/>
        <v>5</v>
      </c>
    </row>
    <row r="16" spans="1:17">
      <c r="A16" s="43" t="s">
        <v>256</v>
      </c>
      <c r="B16" s="34" t="s">
        <v>90</v>
      </c>
      <c r="C16" s="34" t="s">
        <v>143</v>
      </c>
      <c r="D16" s="35">
        <v>46086</v>
      </c>
      <c r="E16" s="35">
        <v>46093</v>
      </c>
      <c r="F16" s="35">
        <v>46093</v>
      </c>
      <c r="G16" s="35">
        <v>46102</v>
      </c>
      <c r="H16" s="35">
        <v>46102</v>
      </c>
      <c r="I16" s="34">
        <v>6</v>
      </c>
      <c r="J16" s="34">
        <v>6</v>
      </c>
      <c r="K16" s="34" t="s">
        <v>238</v>
      </c>
      <c r="L16" s="34" t="s">
        <v>242</v>
      </c>
      <c r="M16" s="41" t="b">
        <v>0</v>
      </c>
      <c r="N16" s="34" t="s">
        <v>65</v>
      </c>
      <c r="O16" s="34">
        <f t="shared" si="0"/>
        <v>9</v>
      </c>
      <c r="P16" s="34">
        <f t="shared" si="0"/>
        <v>9</v>
      </c>
      <c r="Q16" s="34">
        <f t="shared" si="1"/>
        <v>0</v>
      </c>
    </row>
    <row r="17" spans="1:17">
      <c r="A17" s="34" t="s">
        <v>257</v>
      </c>
      <c r="B17" s="34" t="s">
        <v>93</v>
      </c>
      <c r="C17" s="34" t="s">
        <v>139</v>
      </c>
      <c r="D17" s="35">
        <v>46089</v>
      </c>
      <c r="E17" s="35">
        <v>46096</v>
      </c>
      <c r="F17" s="35">
        <v>46101</v>
      </c>
      <c r="G17" s="35">
        <v>46104</v>
      </c>
      <c r="H17" s="35">
        <v>46110</v>
      </c>
      <c r="I17" s="34">
        <v>5</v>
      </c>
      <c r="J17" s="34">
        <v>5</v>
      </c>
      <c r="K17" s="34" t="s">
        <v>238</v>
      </c>
      <c r="L17" s="43" t="s">
        <v>244</v>
      </c>
      <c r="M17" s="41" t="b">
        <v>1</v>
      </c>
      <c r="N17" s="34" t="s">
        <v>245</v>
      </c>
      <c r="O17" s="34">
        <f t="shared" si="0"/>
        <v>8</v>
      </c>
      <c r="P17" s="34">
        <f t="shared" si="0"/>
        <v>9</v>
      </c>
      <c r="Q17" s="34">
        <f t="shared" si="1"/>
        <v>6</v>
      </c>
    </row>
    <row r="18" spans="1:17">
      <c r="A18" s="34" t="s">
        <v>258</v>
      </c>
      <c r="B18" s="34" t="s">
        <v>96</v>
      </c>
      <c r="C18" s="34" t="s">
        <v>143</v>
      </c>
      <c r="D18" s="35">
        <v>46092</v>
      </c>
      <c r="E18" s="35">
        <v>46099</v>
      </c>
      <c r="F18" s="35">
        <v>46099</v>
      </c>
      <c r="G18" s="35">
        <v>46105</v>
      </c>
      <c r="H18" s="35">
        <v>46106</v>
      </c>
      <c r="I18" s="34">
        <v>11</v>
      </c>
      <c r="J18" s="34">
        <v>11</v>
      </c>
      <c r="K18" s="34" t="s">
        <v>238</v>
      </c>
      <c r="L18" s="34" t="s">
        <v>247</v>
      </c>
      <c r="M18" s="41" t="b">
        <v>0</v>
      </c>
      <c r="N18" s="34" t="s">
        <v>65</v>
      </c>
      <c r="O18" s="34">
        <f t="shared" si="0"/>
        <v>6</v>
      </c>
      <c r="P18" s="34">
        <f t="shared" si="0"/>
        <v>7</v>
      </c>
      <c r="Q18" s="34">
        <f t="shared" si="1"/>
        <v>1</v>
      </c>
    </row>
  </sheetData>
  <mergeCells count="1">
    <mergeCell ref="A1:Q1"/>
  </mergeCells>
  <conditionalFormatting sqref="Q4:Q18">
    <cfRule type="cellIs" dxfId="4" priority="1" operator="greaterThan">
      <formula>0</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4"/>
  </sheetPr>
  <dimension ref="A1:P45"/>
  <sheetViews>
    <sheetView workbookViewId="0">
      <selection activeCell="E13" sqref="E13"/>
    </sheetView>
  </sheetViews>
  <sheetFormatPr defaultRowHeight="15.6"/>
  <cols>
    <col min="1" max="1" width="12" style="2" customWidth="1"/>
    <col min="2" max="2" width="13" style="2" customWidth="1"/>
    <col min="3" max="3" width="12" style="2" customWidth="1"/>
    <col min="4" max="4" width="14" style="2" customWidth="1"/>
    <col min="5" max="5" width="23" style="2" customWidth="1"/>
    <col min="6" max="6" width="38" style="2" customWidth="1"/>
    <col min="7" max="7" width="32" style="2" customWidth="1"/>
    <col min="8" max="8" width="38" style="2" customWidth="1"/>
    <col min="9" max="9" width="30" style="2" customWidth="1"/>
    <col min="10" max="10" width="31" style="2" customWidth="1"/>
    <col min="11" max="11" width="29" style="2" customWidth="1"/>
    <col min="12" max="12" width="24" style="2" customWidth="1"/>
    <col min="13" max="13" width="16" style="2" customWidth="1"/>
    <col min="14" max="14" width="14" style="2" customWidth="1"/>
    <col min="15" max="15" width="35" style="2" customWidth="1"/>
    <col min="16" max="16" width="25" style="2" customWidth="1"/>
    <col min="17" max="16384" width="8.796875" style="2"/>
  </cols>
  <sheetData>
    <row r="1" spans="1:16" ht="30.6" customHeight="1">
      <c r="A1" s="32" t="s">
        <v>259</v>
      </c>
      <c r="B1" s="32"/>
      <c r="C1" s="32"/>
      <c r="D1" s="32"/>
      <c r="E1" s="32"/>
      <c r="F1" s="32"/>
      <c r="G1" s="32"/>
      <c r="H1" s="32"/>
      <c r="I1" s="32"/>
      <c r="J1" s="32"/>
      <c r="K1" s="32"/>
      <c r="L1" s="32"/>
      <c r="M1" s="32"/>
      <c r="N1" s="32"/>
      <c r="O1" s="32"/>
      <c r="P1" s="32"/>
    </row>
    <row r="3" spans="1:16" ht="31.2">
      <c r="A3" s="29" t="s">
        <v>260</v>
      </c>
      <c r="B3" s="29" t="s">
        <v>261</v>
      </c>
      <c r="C3" s="29" t="s">
        <v>262</v>
      </c>
      <c r="D3" s="29" t="s">
        <v>263</v>
      </c>
      <c r="E3" s="29" t="s">
        <v>264</v>
      </c>
      <c r="F3" s="29" t="s">
        <v>265</v>
      </c>
      <c r="G3" s="29" t="s">
        <v>266</v>
      </c>
      <c r="H3" s="29" t="s">
        <v>267</v>
      </c>
      <c r="I3" s="29" t="s">
        <v>268</v>
      </c>
      <c r="J3" s="29" t="s">
        <v>269</v>
      </c>
      <c r="K3" s="29" t="s">
        <v>270</v>
      </c>
      <c r="L3" s="29" t="s">
        <v>271</v>
      </c>
      <c r="M3" s="29" t="s">
        <v>272</v>
      </c>
      <c r="N3" s="29" t="s">
        <v>273</v>
      </c>
      <c r="O3" s="29" t="s">
        <v>274</v>
      </c>
      <c r="P3" s="29" t="s">
        <v>275</v>
      </c>
    </row>
    <row r="4" spans="1:16" ht="15.6" customHeight="1">
      <c r="A4" s="33" t="s">
        <v>276</v>
      </c>
      <c r="B4" s="34" t="s">
        <v>508</v>
      </c>
      <c r="C4" s="34" t="s">
        <v>509</v>
      </c>
      <c r="D4" s="34" t="s">
        <v>510</v>
      </c>
      <c r="E4" s="34" t="s">
        <v>511</v>
      </c>
      <c r="F4" s="34" t="s">
        <v>29</v>
      </c>
      <c r="G4" s="34" t="s">
        <v>2</v>
      </c>
      <c r="H4" s="34" t="s">
        <v>512</v>
      </c>
      <c r="I4" s="34" t="s">
        <v>30</v>
      </c>
      <c r="J4" s="34" t="s">
        <v>513</v>
      </c>
      <c r="K4" s="34" t="s">
        <v>511</v>
      </c>
      <c r="L4" s="34" t="s">
        <v>514</v>
      </c>
      <c r="M4" s="34" t="s">
        <v>515</v>
      </c>
      <c r="N4" s="35">
        <v>46236</v>
      </c>
      <c r="O4" s="36" t="s">
        <v>516</v>
      </c>
      <c r="P4" s="34"/>
    </row>
    <row r="5" spans="1:16" ht="15.6" customHeight="1">
      <c r="A5" s="23" t="s">
        <v>277</v>
      </c>
      <c r="B5" s="34" t="s">
        <v>517</v>
      </c>
      <c r="C5" s="34" t="s">
        <v>518</v>
      </c>
      <c r="D5" s="34" t="s">
        <v>519</v>
      </c>
      <c r="E5" s="34" t="s">
        <v>511</v>
      </c>
      <c r="F5" s="34" t="s">
        <v>36</v>
      </c>
      <c r="G5" s="34" t="s">
        <v>2</v>
      </c>
      <c r="H5" s="34" t="s">
        <v>520</v>
      </c>
      <c r="I5" s="34" t="s">
        <v>37</v>
      </c>
      <c r="J5" s="34" t="s">
        <v>521</v>
      </c>
      <c r="K5" s="34" t="s">
        <v>511</v>
      </c>
      <c r="L5" s="34" t="s">
        <v>514</v>
      </c>
      <c r="M5" s="34" t="s">
        <v>515</v>
      </c>
      <c r="N5" s="35">
        <v>46236</v>
      </c>
      <c r="O5" s="36" t="s">
        <v>522</v>
      </c>
      <c r="P5" s="34"/>
    </row>
    <row r="6" spans="1:16" ht="15.6" customHeight="1">
      <c r="A6" s="23" t="s">
        <v>278</v>
      </c>
      <c r="B6" s="34" t="s">
        <v>523</v>
      </c>
      <c r="C6" s="34" t="s">
        <v>524</v>
      </c>
      <c r="D6" s="34" t="s">
        <v>525</v>
      </c>
      <c r="E6" s="34" t="s">
        <v>511</v>
      </c>
      <c r="F6" s="34" t="s">
        <v>41</v>
      </c>
      <c r="G6" s="34" t="s">
        <v>13</v>
      </c>
      <c r="H6" s="34" t="s">
        <v>526</v>
      </c>
      <c r="I6" s="34" t="s">
        <v>44</v>
      </c>
      <c r="J6" s="34" t="s">
        <v>527</v>
      </c>
      <c r="K6" s="34" t="s">
        <v>528</v>
      </c>
      <c r="L6" s="34" t="s">
        <v>514</v>
      </c>
      <c r="M6" s="34" t="s">
        <v>515</v>
      </c>
      <c r="N6" s="35">
        <v>46236</v>
      </c>
      <c r="O6" s="36" t="s">
        <v>529</v>
      </c>
      <c r="P6" s="34"/>
    </row>
    <row r="7" spans="1:16" ht="15.6" customHeight="1">
      <c r="A7" s="33" t="s">
        <v>279</v>
      </c>
      <c r="B7" s="34" t="s">
        <v>530</v>
      </c>
      <c r="C7" s="34" t="s">
        <v>531</v>
      </c>
      <c r="D7" s="34" t="s">
        <v>532</v>
      </c>
      <c r="E7" s="34" t="s">
        <v>511</v>
      </c>
      <c r="F7" s="34" t="s">
        <v>53</v>
      </c>
      <c r="G7" s="34" t="s">
        <v>10</v>
      </c>
      <c r="H7" s="34" t="s">
        <v>533</v>
      </c>
      <c r="I7" s="34" t="s">
        <v>33</v>
      </c>
      <c r="J7" s="34" t="s">
        <v>513</v>
      </c>
      <c r="K7" s="34" t="s">
        <v>511</v>
      </c>
      <c r="L7" s="34" t="s">
        <v>534</v>
      </c>
      <c r="M7" s="34" t="s">
        <v>515</v>
      </c>
      <c r="N7" s="35">
        <v>46236</v>
      </c>
      <c r="O7" s="36" t="s">
        <v>535</v>
      </c>
      <c r="P7" s="34"/>
    </row>
    <row r="8" spans="1:16" ht="15.6" customHeight="1">
      <c r="A8" s="23" t="s">
        <v>280</v>
      </c>
      <c r="B8" s="34" t="s">
        <v>536</v>
      </c>
      <c r="C8" s="34" t="s">
        <v>537</v>
      </c>
      <c r="D8" s="34" t="s">
        <v>538</v>
      </c>
      <c r="E8" s="34" t="s">
        <v>511</v>
      </c>
      <c r="F8" s="34" t="s">
        <v>60</v>
      </c>
      <c r="G8" s="34" t="s">
        <v>8</v>
      </c>
      <c r="H8" s="34" t="s">
        <v>520</v>
      </c>
      <c r="I8" s="34">
        <v>40</v>
      </c>
      <c r="J8" s="34" t="s">
        <v>539</v>
      </c>
      <c r="K8" s="34" t="s">
        <v>540</v>
      </c>
      <c r="L8" s="34" t="s">
        <v>541</v>
      </c>
      <c r="M8" s="34" t="s">
        <v>542</v>
      </c>
      <c r="N8" s="35"/>
      <c r="O8" s="36" t="s">
        <v>543</v>
      </c>
      <c r="P8" s="34"/>
    </row>
    <row r="9" spans="1:16" ht="15.6" customHeight="1">
      <c r="A9" s="23" t="s">
        <v>281</v>
      </c>
      <c r="B9" s="34" t="s">
        <v>544</v>
      </c>
      <c r="C9" s="34" t="s">
        <v>545</v>
      </c>
      <c r="D9" s="34" t="s">
        <v>546</v>
      </c>
      <c r="E9" s="34" t="s">
        <v>511</v>
      </c>
      <c r="F9" s="34" t="s">
        <v>67</v>
      </c>
      <c r="G9" s="34" t="s">
        <v>547</v>
      </c>
      <c r="H9" s="34" t="s">
        <v>548</v>
      </c>
      <c r="I9" s="34" t="s">
        <v>549</v>
      </c>
      <c r="J9" s="34" t="s">
        <v>539</v>
      </c>
      <c r="K9" s="34" t="s">
        <v>540</v>
      </c>
      <c r="L9" s="34" t="s">
        <v>541</v>
      </c>
      <c r="M9" s="34" t="s">
        <v>542</v>
      </c>
      <c r="N9" s="35"/>
      <c r="O9" s="36" t="s">
        <v>539</v>
      </c>
      <c r="P9" s="34"/>
    </row>
    <row r="10" spans="1:16" ht="15.6" customHeight="1">
      <c r="A10" s="33" t="s">
        <v>282</v>
      </c>
      <c r="B10" s="34" t="s">
        <v>550</v>
      </c>
      <c r="C10" s="34" t="s">
        <v>551</v>
      </c>
      <c r="D10" s="34" t="s">
        <v>552</v>
      </c>
      <c r="E10" s="34" t="s">
        <v>511</v>
      </c>
      <c r="F10" s="34" t="s">
        <v>73</v>
      </c>
      <c r="G10" s="34" t="s">
        <v>6</v>
      </c>
      <c r="H10" s="34" t="s">
        <v>553</v>
      </c>
      <c r="I10" s="37">
        <v>28</v>
      </c>
      <c r="J10" s="34" t="s">
        <v>554</v>
      </c>
      <c r="K10" s="34" t="s">
        <v>555</v>
      </c>
      <c r="L10" s="34" t="s">
        <v>556</v>
      </c>
      <c r="M10" s="34" t="s">
        <v>515</v>
      </c>
      <c r="N10" s="35">
        <v>46236</v>
      </c>
      <c r="O10" s="36" t="s">
        <v>557</v>
      </c>
      <c r="P10" s="34"/>
    </row>
    <row r="11" spans="1:16" ht="15.6" customHeight="1">
      <c r="A11" s="23" t="s">
        <v>283</v>
      </c>
      <c r="B11" s="34" t="s">
        <v>558</v>
      </c>
      <c r="C11" s="34" t="s">
        <v>559</v>
      </c>
      <c r="D11" s="34" t="s">
        <v>532</v>
      </c>
      <c r="E11" s="34" t="s">
        <v>511</v>
      </c>
      <c r="F11" s="34" t="s">
        <v>73</v>
      </c>
      <c r="G11" s="34" t="s">
        <v>11</v>
      </c>
      <c r="H11" s="34" t="s">
        <v>560</v>
      </c>
      <c r="I11" s="34" t="s">
        <v>21</v>
      </c>
      <c r="J11" s="34" t="s">
        <v>561</v>
      </c>
      <c r="K11" s="34" t="s">
        <v>562</v>
      </c>
      <c r="L11" s="34" t="s">
        <v>534</v>
      </c>
      <c r="M11" s="34" t="s">
        <v>515</v>
      </c>
      <c r="N11" s="35">
        <v>46236</v>
      </c>
      <c r="O11" s="36" t="s">
        <v>535</v>
      </c>
      <c r="P11" s="34"/>
    </row>
    <row r="12" spans="1:16" ht="15.6" customHeight="1">
      <c r="A12" s="23" t="s">
        <v>284</v>
      </c>
      <c r="B12" s="34" t="s">
        <v>563</v>
      </c>
      <c r="C12" s="34" t="s">
        <v>564</v>
      </c>
      <c r="D12" s="34" t="s">
        <v>565</v>
      </c>
      <c r="E12" s="34" t="s">
        <v>511</v>
      </c>
      <c r="F12" s="34" t="s">
        <v>79</v>
      </c>
      <c r="G12" s="34" t="s">
        <v>13</v>
      </c>
      <c r="H12" s="34" t="s">
        <v>520</v>
      </c>
      <c r="I12" s="34" t="s">
        <v>66</v>
      </c>
      <c r="J12" s="34" t="s">
        <v>521</v>
      </c>
      <c r="K12" s="34" t="s">
        <v>528</v>
      </c>
      <c r="L12" s="34" t="s">
        <v>534</v>
      </c>
      <c r="M12" s="34" t="s">
        <v>515</v>
      </c>
      <c r="N12" s="35">
        <v>46236</v>
      </c>
      <c r="O12" s="36" t="s">
        <v>529</v>
      </c>
      <c r="P12" s="34"/>
    </row>
    <row r="13" spans="1:16" ht="15.6" customHeight="1">
      <c r="A13" s="33" t="s">
        <v>285</v>
      </c>
      <c r="B13" s="34" t="s">
        <v>566</v>
      </c>
      <c r="C13" s="34" t="s">
        <v>567</v>
      </c>
      <c r="D13" s="34" t="s">
        <v>568</v>
      </c>
      <c r="E13" s="34" t="s">
        <v>511</v>
      </c>
      <c r="F13" s="34" t="s">
        <v>45</v>
      </c>
      <c r="G13" s="34" t="s">
        <v>1</v>
      </c>
      <c r="H13" s="34" t="s">
        <v>569</v>
      </c>
      <c r="I13" s="34" t="s">
        <v>570</v>
      </c>
      <c r="J13" s="34" t="s">
        <v>571</v>
      </c>
      <c r="K13" s="34" t="s">
        <v>511</v>
      </c>
      <c r="L13" s="34" t="s">
        <v>514</v>
      </c>
      <c r="M13" s="34" t="s">
        <v>515</v>
      </c>
      <c r="N13" s="35">
        <v>46236</v>
      </c>
      <c r="O13" s="36" t="s">
        <v>572</v>
      </c>
      <c r="P13" s="34"/>
    </row>
    <row r="14" spans="1:16" ht="15.6" customHeight="1">
      <c r="A14" s="23" t="s">
        <v>286</v>
      </c>
      <c r="B14" s="34" t="s">
        <v>573</v>
      </c>
      <c r="C14" s="34" t="s">
        <v>574</v>
      </c>
      <c r="D14" s="34" t="s">
        <v>575</v>
      </c>
      <c r="E14" s="34" t="s">
        <v>528</v>
      </c>
      <c r="F14" s="34" t="s">
        <v>28</v>
      </c>
      <c r="G14" s="34" t="s">
        <v>105</v>
      </c>
      <c r="H14" s="34" t="s">
        <v>576</v>
      </c>
      <c r="I14" s="34" t="s">
        <v>112</v>
      </c>
      <c r="J14" s="34" t="s">
        <v>513</v>
      </c>
      <c r="K14" s="34" t="s">
        <v>528</v>
      </c>
      <c r="L14" s="34" t="s">
        <v>514</v>
      </c>
      <c r="M14" s="34" t="s">
        <v>515</v>
      </c>
      <c r="N14" s="35">
        <v>46237</v>
      </c>
      <c r="O14" s="36" t="s">
        <v>535</v>
      </c>
      <c r="P14" s="34"/>
    </row>
    <row r="15" spans="1:16" ht="15.6" customHeight="1">
      <c r="A15" s="23" t="s">
        <v>287</v>
      </c>
      <c r="B15" s="34" t="s">
        <v>577</v>
      </c>
      <c r="C15" s="34" t="s">
        <v>578</v>
      </c>
      <c r="D15" s="34" t="s">
        <v>579</v>
      </c>
      <c r="E15" s="34" t="s">
        <v>528</v>
      </c>
      <c r="F15" s="34" t="s">
        <v>40</v>
      </c>
      <c r="G15" s="34" t="s">
        <v>14</v>
      </c>
      <c r="H15" s="34" t="s">
        <v>580</v>
      </c>
      <c r="I15" s="38" t="b">
        <v>0</v>
      </c>
      <c r="J15" s="34" t="s">
        <v>554</v>
      </c>
      <c r="K15" s="34" t="s">
        <v>581</v>
      </c>
      <c r="L15" s="34" t="s">
        <v>534</v>
      </c>
      <c r="M15" s="34" t="s">
        <v>515</v>
      </c>
      <c r="N15" s="35">
        <v>46237</v>
      </c>
      <c r="O15" s="36" t="s">
        <v>543</v>
      </c>
      <c r="P15" s="34"/>
    </row>
    <row r="16" spans="1:16" ht="15.6" customHeight="1">
      <c r="A16" s="33" t="s">
        <v>288</v>
      </c>
      <c r="B16" s="34" t="s">
        <v>582</v>
      </c>
      <c r="C16" s="34" t="s">
        <v>583</v>
      </c>
      <c r="D16" s="34" t="s">
        <v>584</v>
      </c>
      <c r="E16" s="34" t="s">
        <v>528</v>
      </c>
      <c r="F16" s="34" t="s">
        <v>44</v>
      </c>
      <c r="G16" s="34" t="s">
        <v>101</v>
      </c>
      <c r="H16" s="34" t="s">
        <v>520</v>
      </c>
      <c r="I16" s="34" t="s">
        <v>123</v>
      </c>
      <c r="J16" s="34" t="s">
        <v>521</v>
      </c>
      <c r="K16" s="34" t="s">
        <v>528</v>
      </c>
      <c r="L16" s="34" t="s">
        <v>534</v>
      </c>
      <c r="M16" s="34" t="s">
        <v>515</v>
      </c>
      <c r="N16" s="35">
        <v>46237</v>
      </c>
      <c r="O16" s="36" t="s">
        <v>529</v>
      </c>
      <c r="P16" s="34"/>
    </row>
    <row r="17" spans="1:16" ht="15.6" customHeight="1">
      <c r="A17" s="23" t="s">
        <v>289</v>
      </c>
      <c r="B17" s="34" t="s">
        <v>585</v>
      </c>
      <c r="C17" s="34" t="s">
        <v>586</v>
      </c>
      <c r="D17" s="34" t="s">
        <v>587</v>
      </c>
      <c r="E17" s="34" t="s">
        <v>528</v>
      </c>
      <c r="F17" s="34" t="s">
        <v>59</v>
      </c>
      <c r="G17" s="34" t="s">
        <v>108</v>
      </c>
      <c r="H17" s="34" t="s">
        <v>588</v>
      </c>
      <c r="I17" s="39">
        <v>0.92</v>
      </c>
      <c r="J17" s="34" t="s">
        <v>521</v>
      </c>
      <c r="K17" s="34" t="s">
        <v>589</v>
      </c>
      <c r="L17" s="34" t="s">
        <v>534</v>
      </c>
      <c r="M17" s="34" t="s">
        <v>515</v>
      </c>
      <c r="N17" s="35">
        <v>46237</v>
      </c>
      <c r="O17" s="36" t="s">
        <v>590</v>
      </c>
      <c r="P17" s="34"/>
    </row>
    <row r="18" spans="1:16" ht="15.6" customHeight="1">
      <c r="A18" s="23" t="s">
        <v>290</v>
      </c>
      <c r="B18" s="34" t="s">
        <v>591</v>
      </c>
      <c r="C18" s="34" t="s">
        <v>592</v>
      </c>
      <c r="D18" s="34" t="s">
        <v>593</v>
      </c>
      <c r="E18" s="34" t="s">
        <v>528</v>
      </c>
      <c r="F18" s="34" t="s">
        <v>28</v>
      </c>
      <c r="G18" s="34" t="s">
        <v>100</v>
      </c>
      <c r="H18" s="34" t="s">
        <v>594</v>
      </c>
      <c r="I18" s="34" t="s">
        <v>570</v>
      </c>
      <c r="J18" s="34" t="s">
        <v>571</v>
      </c>
      <c r="K18" s="34" t="s">
        <v>528</v>
      </c>
      <c r="L18" s="34" t="s">
        <v>514</v>
      </c>
      <c r="M18" s="34" t="s">
        <v>515</v>
      </c>
      <c r="N18" s="35">
        <v>46237</v>
      </c>
      <c r="O18" s="36" t="s">
        <v>572</v>
      </c>
      <c r="P18" s="34"/>
    </row>
    <row r="19" spans="1:16" ht="15.6" customHeight="1">
      <c r="A19" s="33" t="s">
        <v>291</v>
      </c>
      <c r="B19" s="34" t="s">
        <v>595</v>
      </c>
      <c r="C19" s="34" t="s">
        <v>596</v>
      </c>
      <c r="D19" s="34" t="s">
        <v>597</v>
      </c>
      <c r="E19" s="34" t="s">
        <v>598</v>
      </c>
      <c r="F19" s="34" t="s">
        <v>599</v>
      </c>
      <c r="G19" s="34" t="s">
        <v>152</v>
      </c>
      <c r="H19" s="34" t="s">
        <v>29</v>
      </c>
      <c r="I19" s="34" t="s">
        <v>84</v>
      </c>
      <c r="J19" s="34" t="s">
        <v>521</v>
      </c>
      <c r="K19" s="34" t="s">
        <v>600</v>
      </c>
      <c r="L19" s="34" t="s">
        <v>601</v>
      </c>
      <c r="M19" s="34" t="s">
        <v>515</v>
      </c>
      <c r="N19" s="35">
        <v>46237</v>
      </c>
      <c r="O19" s="36" t="s">
        <v>529</v>
      </c>
      <c r="P19" s="34"/>
    </row>
    <row r="20" spans="1:16" ht="15.6" customHeight="1">
      <c r="A20" s="23" t="s">
        <v>292</v>
      </c>
      <c r="B20" s="34" t="s">
        <v>602</v>
      </c>
      <c r="C20" s="34" t="s">
        <v>603</v>
      </c>
      <c r="D20" s="34" t="s">
        <v>604</v>
      </c>
      <c r="E20" s="34" t="s">
        <v>598</v>
      </c>
      <c r="F20" s="34" t="s">
        <v>605</v>
      </c>
      <c r="G20" s="34" t="s">
        <v>155</v>
      </c>
      <c r="H20" s="34" t="s">
        <v>606</v>
      </c>
      <c r="I20" s="34" t="s">
        <v>15</v>
      </c>
      <c r="J20" s="34" t="s">
        <v>527</v>
      </c>
      <c r="K20" s="34" t="s">
        <v>511</v>
      </c>
      <c r="L20" s="34" t="s">
        <v>514</v>
      </c>
      <c r="M20" s="34" t="s">
        <v>515</v>
      </c>
      <c r="N20" s="35">
        <v>46237</v>
      </c>
      <c r="O20" s="36" t="s">
        <v>529</v>
      </c>
      <c r="P20" s="34"/>
    </row>
    <row r="21" spans="1:16" ht="15.6" customHeight="1">
      <c r="A21" s="23" t="s">
        <v>293</v>
      </c>
      <c r="B21" s="34" t="s">
        <v>607</v>
      </c>
      <c r="C21" s="34" t="s">
        <v>608</v>
      </c>
      <c r="D21" s="34" t="s">
        <v>609</v>
      </c>
      <c r="E21" s="34" t="s">
        <v>598</v>
      </c>
      <c r="F21" s="34" t="s">
        <v>610</v>
      </c>
      <c r="G21" s="34" t="s">
        <v>156</v>
      </c>
      <c r="H21" s="34">
        <v>0</v>
      </c>
      <c r="I21" s="34">
        <v>1</v>
      </c>
      <c r="J21" s="34" t="s">
        <v>521</v>
      </c>
      <c r="K21" s="34" t="s">
        <v>600</v>
      </c>
      <c r="L21" s="34" t="s">
        <v>601</v>
      </c>
      <c r="M21" s="34" t="s">
        <v>515</v>
      </c>
      <c r="N21" s="35">
        <v>46237</v>
      </c>
      <c r="O21" s="36" t="s">
        <v>611</v>
      </c>
      <c r="P21" s="34"/>
    </row>
    <row r="22" spans="1:16" ht="15.6" customHeight="1">
      <c r="A22" s="33" t="s">
        <v>294</v>
      </c>
      <c r="B22" s="34" t="s">
        <v>612</v>
      </c>
      <c r="C22" s="34" t="s">
        <v>613</v>
      </c>
      <c r="D22" s="34" t="s">
        <v>614</v>
      </c>
      <c r="E22" s="34" t="s">
        <v>598</v>
      </c>
      <c r="F22" s="34" t="s">
        <v>615</v>
      </c>
      <c r="G22" s="34" t="s">
        <v>158</v>
      </c>
      <c r="H22" s="34" t="s">
        <v>520</v>
      </c>
      <c r="I22" s="36">
        <v>46023</v>
      </c>
      <c r="J22" s="34" t="s">
        <v>539</v>
      </c>
      <c r="K22" s="34" t="s">
        <v>616</v>
      </c>
      <c r="L22" s="34" t="s">
        <v>601</v>
      </c>
      <c r="M22" s="34" t="s">
        <v>542</v>
      </c>
      <c r="N22" s="35"/>
      <c r="O22" s="36" t="s">
        <v>543</v>
      </c>
      <c r="P22" s="34"/>
    </row>
    <row r="23" spans="1:16" ht="15.6" customHeight="1">
      <c r="A23" s="23" t="s">
        <v>295</v>
      </c>
      <c r="B23" s="34" t="s">
        <v>617</v>
      </c>
      <c r="C23" s="34" t="s">
        <v>618</v>
      </c>
      <c r="D23" s="34" t="s">
        <v>619</v>
      </c>
      <c r="E23" s="34" t="s">
        <v>598</v>
      </c>
      <c r="F23" s="34" t="s">
        <v>615</v>
      </c>
      <c r="G23" s="34" t="s">
        <v>620</v>
      </c>
      <c r="H23" s="34" t="s">
        <v>621</v>
      </c>
      <c r="I23" s="34" t="s">
        <v>570</v>
      </c>
      <c r="J23" s="34" t="s">
        <v>571</v>
      </c>
      <c r="K23" s="34" t="s">
        <v>600</v>
      </c>
      <c r="L23" s="34" t="s">
        <v>514</v>
      </c>
      <c r="M23" s="34" t="s">
        <v>515</v>
      </c>
      <c r="N23" s="35">
        <v>46237</v>
      </c>
      <c r="O23" s="36" t="s">
        <v>622</v>
      </c>
      <c r="P23" s="34"/>
    </row>
    <row r="24" spans="1:16" ht="15.6" customHeight="1">
      <c r="A24" s="23" t="s">
        <v>296</v>
      </c>
      <c r="B24" s="34" t="s">
        <v>623</v>
      </c>
      <c r="C24" s="34" t="s">
        <v>624</v>
      </c>
      <c r="D24" s="34" t="s">
        <v>625</v>
      </c>
      <c r="E24" s="34" t="s">
        <v>598</v>
      </c>
      <c r="F24" s="34" t="s">
        <v>626</v>
      </c>
      <c r="G24" s="34" t="s">
        <v>157</v>
      </c>
      <c r="H24" s="34" t="s">
        <v>520</v>
      </c>
      <c r="I24" s="40">
        <v>0.02</v>
      </c>
      <c r="J24" s="34" t="s">
        <v>521</v>
      </c>
      <c r="K24" s="34" t="s">
        <v>600</v>
      </c>
      <c r="L24" s="34" t="s">
        <v>601</v>
      </c>
      <c r="M24" s="34" t="s">
        <v>515</v>
      </c>
      <c r="N24" s="35">
        <v>46237</v>
      </c>
      <c r="O24" s="36" t="s">
        <v>627</v>
      </c>
      <c r="P24" s="34"/>
    </row>
    <row r="25" spans="1:16" ht="15.6" customHeight="1">
      <c r="A25" s="33" t="s">
        <v>297</v>
      </c>
      <c r="B25" s="34" t="s">
        <v>628</v>
      </c>
      <c r="C25" s="34" t="s">
        <v>629</v>
      </c>
      <c r="D25" s="34" t="s">
        <v>630</v>
      </c>
      <c r="E25" s="34" t="s">
        <v>631</v>
      </c>
      <c r="F25" s="34" t="s">
        <v>632</v>
      </c>
      <c r="G25" s="34" t="s">
        <v>169</v>
      </c>
      <c r="H25" s="34">
        <v>-44</v>
      </c>
      <c r="I25" s="34">
        <v>44</v>
      </c>
      <c r="J25" s="34" t="s">
        <v>521</v>
      </c>
      <c r="K25" s="34" t="s">
        <v>633</v>
      </c>
      <c r="L25" s="34" t="s">
        <v>634</v>
      </c>
      <c r="M25" s="34" t="s">
        <v>515</v>
      </c>
      <c r="N25" s="35">
        <v>46237</v>
      </c>
      <c r="O25" s="36" t="s">
        <v>635</v>
      </c>
      <c r="P25" s="34"/>
    </row>
    <row r="26" spans="1:16" ht="15.6" customHeight="1">
      <c r="A26" s="23" t="s">
        <v>298</v>
      </c>
      <c r="B26" s="34" t="s">
        <v>636</v>
      </c>
      <c r="C26" s="34" t="s">
        <v>637</v>
      </c>
      <c r="D26" s="34" t="s">
        <v>638</v>
      </c>
      <c r="E26" s="34" t="s">
        <v>631</v>
      </c>
      <c r="F26" s="34" t="s">
        <v>639</v>
      </c>
      <c r="G26" s="34" t="s">
        <v>168</v>
      </c>
      <c r="H26" s="34" t="s">
        <v>640</v>
      </c>
      <c r="I26" s="34" t="s">
        <v>174</v>
      </c>
      <c r="J26" s="34" t="s">
        <v>521</v>
      </c>
      <c r="K26" s="34" t="s">
        <v>641</v>
      </c>
      <c r="L26" s="34" t="s">
        <v>642</v>
      </c>
      <c r="M26" s="34" t="s">
        <v>515</v>
      </c>
      <c r="N26" s="35">
        <v>46237</v>
      </c>
      <c r="O26" s="36" t="s">
        <v>535</v>
      </c>
      <c r="P26" s="34"/>
    </row>
    <row r="27" spans="1:16" ht="15.6" customHeight="1">
      <c r="A27" s="23" t="s">
        <v>299</v>
      </c>
      <c r="B27" s="34" t="s">
        <v>643</v>
      </c>
      <c r="C27" s="34" t="s">
        <v>644</v>
      </c>
      <c r="D27" s="34" t="s">
        <v>645</v>
      </c>
      <c r="E27" s="34" t="s">
        <v>631</v>
      </c>
      <c r="F27" s="34" t="s">
        <v>646</v>
      </c>
      <c r="G27" s="34" t="s">
        <v>134</v>
      </c>
      <c r="H27" s="34" t="s">
        <v>647</v>
      </c>
      <c r="I27" s="34" t="s">
        <v>139</v>
      </c>
      <c r="J27" s="34" t="s">
        <v>527</v>
      </c>
      <c r="K27" s="34" t="s">
        <v>648</v>
      </c>
      <c r="L27" s="34" t="s">
        <v>514</v>
      </c>
      <c r="M27" s="34" t="s">
        <v>515</v>
      </c>
      <c r="N27" s="35">
        <v>46237</v>
      </c>
      <c r="O27" s="36" t="s">
        <v>649</v>
      </c>
      <c r="P27" s="34"/>
    </row>
    <row r="28" spans="1:16" ht="15.6" customHeight="1">
      <c r="A28" s="33" t="s">
        <v>300</v>
      </c>
      <c r="B28" s="34" t="s">
        <v>650</v>
      </c>
      <c r="C28" s="34" t="s">
        <v>651</v>
      </c>
      <c r="D28" s="34" t="s">
        <v>652</v>
      </c>
      <c r="E28" s="34" t="s">
        <v>631</v>
      </c>
      <c r="F28" s="34" t="s">
        <v>653</v>
      </c>
      <c r="G28" s="34" t="s">
        <v>170</v>
      </c>
      <c r="H28" s="34" t="s">
        <v>654</v>
      </c>
      <c r="I28" s="37">
        <v>135</v>
      </c>
      <c r="J28" s="34" t="s">
        <v>554</v>
      </c>
      <c r="K28" s="34" t="s">
        <v>555</v>
      </c>
      <c r="L28" s="34" t="s">
        <v>556</v>
      </c>
      <c r="M28" s="34" t="s">
        <v>515</v>
      </c>
      <c r="N28" s="35">
        <v>46237</v>
      </c>
      <c r="O28" s="36" t="s">
        <v>557</v>
      </c>
      <c r="P28" s="34"/>
    </row>
    <row r="29" spans="1:16" ht="15.6" customHeight="1">
      <c r="A29" s="23" t="s">
        <v>301</v>
      </c>
      <c r="B29" s="34" t="s">
        <v>655</v>
      </c>
      <c r="C29" s="34" t="s">
        <v>656</v>
      </c>
      <c r="D29" s="34" t="s">
        <v>657</v>
      </c>
      <c r="E29" s="34" t="s">
        <v>631</v>
      </c>
      <c r="F29" s="34" t="s">
        <v>658</v>
      </c>
      <c r="G29" s="34" t="s">
        <v>659</v>
      </c>
      <c r="H29" s="34" t="s">
        <v>660</v>
      </c>
      <c r="I29" s="34" t="s">
        <v>570</v>
      </c>
      <c r="J29" s="34" t="s">
        <v>571</v>
      </c>
      <c r="K29" s="34" t="s">
        <v>661</v>
      </c>
      <c r="L29" s="34" t="s">
        <v>514</v>
      </c>
      <c r="M29" s="34" t="s">
        <v>515</v>
      </c>
      <c r="N29" s="35">
        <v>46237</v>
      </c>
      <c r="O29" s="36" t="s">
        <v>622</v>
      </c>
      <c r="P29" s="34"/>
    </row>
    <row r="30" spans="1:16" ht="15.6" customHeight="1">
      <c r="A30" s="23" t="s">
        <v>302</v>
      </c>
      <c r="B30" s="34" t="s">
        <v>662</v>
      </c>
      <c r="C30" s="34" t="s">
        <v>663</v>
      </c>
      <c r="D30" s="34" t="s">
        <v>657</v>
      </c>
      <c r="E30" s="34" t="s">
        <v>631</v>
      </c>
      <c r="F30" s="34" t="s">
        <v>664</v>
      </c>
      <c r="G30" s="34" t="s">
        <v>659</v>
      </c>
      <c r="H30" s="34" t="s">
        <v>665</v>
      </c>
      <c r="I30" s="34" t="s">
        <v>570</v>
      </c>
      <c r="J30" s="34" t="s">
        <v>571</v>
      </c>
      <c r="K30" s="34" t="s">
        <v>661</v>
      </c>
      <c r="L30" s="34" t="s">
        <v>514</v>
      </c>
      <c r="M30" s="34" t="s">
        <v>515</v>
      </c>
      <c r="N30" s="35">
        <v>46237</v>
      </c>
      <c r="O30" s="36" t="s">
        <v>622</v>
      </c>
      <c r="P30" s="34"/>
    </row>
    <row r="31" spans="1:16" ht="15.6" customHeight="1">
      <c r="A31" s="33" t="s">
        <v>303</v>
      </c>
      <c r="B31" s="34" t="s">
        <v>666</v>
      </c>
      <c r="C31" s="34" t="s">
        <v>667</v>
      </c>
      <c r="D31" s="34" t="s">
        <v>638</v>
      </c>
      <c r="E31" s="34" t="s">
        <v>631</v>
      </c>
      <c r="F31" s="34" t="s">
        <v>668</v>
      </c>
      <c r="G31" s="34" t="s">
        <v>168</v>
      </c>
      <c r="H31" s="34" t="s">
        <v>669</v>
      </c>
      <c r="I31" s="34" t="s">
        <v>175</v>
      </c>
      <c r="J31" s="34" t="s">
        <v>513</v>
      </c>
      <c r="K31" s="34" t="s">
        <v>641</v>
      </c>
      <c r="L31" s="34" t="s">
        <v>514</v>
      </c>
      <c r="M31" s="34" t="s">
        <v>515</v>
      </c>
      <c r="N31" s="35">
        <v>46237</v>
      </c>
      <c r="O31" s="36" t="s">
        <v>516</v>
      </c>
      <c r="P31" s="34"/>
    </row>
    <row r="32" spans="1:16" ht="15.6" customHeight="1">
      <c r="A32" s="23" t="s">
        <v>304</v>
      </c>
      <c r="B32" s="34" t="s">
        <v>670</v>
      </c>
      <c r="C32" s="34" t="s">
        <v>671</v>
      </c>
      <c r="D32" s="34" t="s">
        <v>672</v>
      </c>
      <c r="E32" s="34" t="s">
        <v>673</v>
      </c>
      <c r="F32" s="34" t="s">
        <v>674</v>
      </c>
      <c r="G32" s="34" t="s">
        <v>1</v>
      </c>
      <c r="H32" s="34" t="s">
        <v>675</v>
      </c>
      <c r="I32" s="34" t="s">
        <v>24</v>
      </c>
      <c r="J32" s="34" t="s">
        <v>527</v>
      </c>
      <c r="K32" s="34" t="s">
        <v>511</v>
      </c>
      <c r="L32" s="34" t="s">
        <v>514</v>
      </c>
      <c r="M32" s="34" t="s">
        <v>515</v>
      </c>
      <c r="N32" s="35">
        <v>46237</v>
      </c>
      <c r="O32" s="36" t="s">
        <v>676</v>
      </c>
      <c r="P32" s="34"/>
    </row>
    <row r="33" spans="1:16" ht="15.6" customHeight="1">
      <c r="A33" s="23" t="s">
        <v>305</v>
      </c>
      <c r="B33" s="34" t="s">
        <v>677</v>
      </c>
      <c r="C33" s="34" t="s">
        <v>678</v>
      </c>
      <c r="D33" s="34" t="s">
        <v>679</v>
      </c>
      <c r="E33" s="34" t="s">
        <v>673</v>
      </c>
      <c r="F33" s="34" t="s">
        <v>680</v>
      </c>
      <c r="G33" s="34" t="s">
        <v>181</v>
      </c>
      <c r="H33" s="34" t="s">
        <v>520</v>
      </c>
      <c r="I33" s="36">
        <v>46058</v>
      </c>
      <c r="J33" s="34" t="s">
        <v>539</v>
      </c>
      <c r="K33" s="34" t="s">
        <v>681</v>
      </c>
      <c r="L33" s="34" t="s">
        <v>534</v>
      </c>
      <c r="M33" s="34" t="s">
        <v>542</v>
      </c>
      <c r="N33" s="35"/>
      <c r="O33" s="36" t="s">
        <v>543</v>
      </c>
      <c r="P33" s="34"/>
    </row>
    <row r="34" spans="1:16" ht="15.6" customHeight="1">
      <c r="A34" s="33" t="s">
        <v>306</v>
      </c>
      <c r="B34" s="34" t="s">
        <v>682</v>
      </c>
      <c r="C34" s="34" t="s">
        <v>683</v>
      </c>
      <c r="D34" s="34" t="s">
        <v>684</v>
      </c>
      <c r="E34" s="34" t="s">
        <v>673</v>
      </c>
      <c r="F34" s="34" t="s">
        <v>685</v>
      </c>
      <c r="G34" s="34" t="s">
        <v>686</v>
      </c>
      <c r="H34" s="34" t="s">
        <v>687</v>
      </c>
      <c r="I34" s="36">
        <v>46027</v>
      </c>
      <c r="J34" s="34" t="s">
        <v>539</v>
      </c>
      <c r="K34" s="34" t="s">
        <v>688</v>
      </c>
      <c r="L34" s="34" t="s">
        <v>534</v>
      </c>
      <c r="M34" s="34" t="s">
        <v>542</v>
      </c>
      <c r="N34" s="35"/>
      <c r="O34" s="34" t="s">
        <v>689</v>
      </c>
      <c r="P34" s="34"/>
    </row>
    <row r="35" spans="1:16" ht="15.6" customHeight="1">
      <c r="A35" s="23" t="s">
        <v>307</v>
      </c>
      <c r="B35" s="34" t="s">
        <v>690</v>
      </c>
      <c r="C35" s="34" t="s">
        <v>691</v>
      </c>
      <c r="D35" s="34" t="s">
        <v>692</v>
      </c>
      <c r="E35" s="34" t="s">
        <v>673</v>
      </c>
      <c r="F35" s="34" t="s">
        <v>693</v>
      </c>
      <c r="G35" s="34" t="s">
        <v>694</v>
      </c>
      <c r="H35" s="34" t="s">
        <v>695</v>
      </c>
      <c r="I35" s="34" t="s">
        <v>696</v>
      </c>
      <c r="J35" s="34" t="s">
        <v>554</v>
      </c>
      <c r="K35" s="34" t="s">
        <v>697</v>
      </c>
      <c r="L35" s="34" t="s">
        <v>698</v>
      </c>
      <c r="M35" s="34" t="s">
        <v>515</v>
      </c>
      <c r="N35" s="35">
        <v>46237</v>
      </c>
      <c r="O35" s="36" t="s">
        <v>539</v>
      </c>
      <c r="P35" s="34"/>
    </row>
    <row r="36" spans="1:16" ht="15.6" customHeight="1">
      <c r="A36" s="23" t="s">
        <v>308</v>
      </c>
      <c r="B36" s="34" t="s">
        <v>699</v>
      </c>
      <c r="C36" s="34" t="s">
        <v>700</v>
      </c>
      <c r="D36" s="34" t="s">
        <v>701</v>
      </c>
      <c r="E36" s="34" t="s">
        <v>673</v>
      </c>
      <c r="F36" s="34" t="s">
        <v>702</v>
      </c>
      <c r="G36" s="34" t="s">
        <v>703</v>
      </c>
      <c r="H36" s="34" t="s">
        <v>704</v>
      </c>
      <c r="I36" s="34" t="s">
        <v>705</v>
      </c>
      <c r="J36" s="34" t="s">
        <v>554</v>
      </c>
      <c r="K36" s="34" t="s">
        <v>697</v>
      </c>
      <c r="L36" s="34" t="s">
        <v>534</v>
      </c>
      <c r="M36" s="34" t="s">
        <v>515</v>
      </c>
      <c r="N36" s="35">
        <v>46237</v>
      </c>
      <c r="O36" s="36" t="s">
        <v>706</v>
      </c>
      <c r="P36" s="34"/>
    </row>
    <row r="37" spans="1:16" ht="15.6" customHeight="1">
      <c r="A37" s="33" t="s">
        <v>309</v>
      </c>
      <c r="B37" s="34" t="s">
        <v>707</v>
      </c>
      <c r="C37" s="34" t="s">
        <v>708</v>
      </c>
      <c r="D37" s="34" t="s">
        <v>709</v>
      </c>
      <c r="E37" s="34" t="s">
        <v>673</v>
      </c>
      <c r="F37" s="34" t="s">
        <v>710</v>
      </c>
      <c r="G37" s="34" t="s">
        <v>711</v>
      </c>
      <c r="H37" s="34" t="s">
        <v>712</v>
      </c>
      <c r="I37" s="34" t="s">
        <v>713</v>
      </c>
      <c r="J37" s="34" t="s">
        <v>554</v>
      </c>
      <c r="K37" s="34" t="s">
        <v>697</v>
      </c>
      <c r="L37" s="34" t="s">
        <v>534</v>
      </c>
      <c r="M37" s="34" t="s">
        <v>515</v>
      </c>
      <c r="N37" s="35">
        <v>46237</v>
      </c>
      <c r="O37" s="36" t="s">
        <v>539</v>
      </c>
      <c r="P37" s="34"/>
    </row>
    <row r="38" spans="1:16" ht="15.6" customHeight="1">
      <c r="A38" s="23" t="s">
        <v>310</v>
      </c>
      <c r="B38" s="34" t="s">
        <v>714</v>
      </c>
      <c r="C38" s="34" t="s">
        <v>715</v>
      </c>
      <c r="D38" s="34" t="s">
        <v>716</v>
      </c>
      <c r="E38" s="34" t="s">
        <v>673</v>
      </c>
      <c r="F38" s="34" t="s">
        <v>717</v>
      </c>
      <c r="G38" s="34" t="s">
        <v>100</v>
      </c>
      <c r="H38" s="34" t="s">
        <v>718</v>
      </c>
      <c r="I38" s="34" t="s">
        <v>44</v>
      </c>
      <c r="J38" s="34" t="s">
        <v>521</v>
      </c>
      <c r="K38" s="34" t="s">
        <v>528</v>
      </c>
      <c r="L38" s="34" t="s">
        <v>534</v>
      </c>
      <c r="M38" s="34" t="s">
        <v>515</v>
      </c>
      <c r="N38" s="35">
        <v>46237</v>
      </c>
      <c r="O38" s="36" t="s">
        <v>719</v>
      </c>
      <c r="P38" s="34"/>
    </row>
    <row r="39" spans="1:16" ht="15.6" customHeight="1">
      <c r="A39" s="23" t="s">
        <v>311</v>
      </c>
      <c r="B39" s="34" t="s">
        <v>720</v>
      </c>
      <c r="C39" s="34" t="s">
        <v>721</v>
      </c>
      <c r="D39" s="34" t="s">
        <v>722</v>
      </c>
      <c r="E39" s="34" t="s">
        <v>673</v>
      </c>
      <c r="F39" s="34" t="s">
        <v>723</v>
      </c>
      <c r="G39" s="34" t="s">
        <v>186</v>
      </c>
      <c r="H39" s="34">
        <v>0</v>
      </c>
      <c r="I39" s="37">
        <v>220.58</v>
      </c>
      <c r="J39" s="34" t="s">
        <v>554</v>
      </c>
      <c r="K39" s="34" t="s">
        <v>724</v>
      </c>
      <c r="L39" s="34" t="s">
        <v>556</v>
      </c>
      <c r="M39" s="34" t="s">
        <v>515</v>
      </c>
      <c r="N39" s="35">
        <v>46237</v>
      </c>
      <c r="O39" s="36" t="s">
        <v>725</v>
      </c>
      <c r="P39" s="34"/>
    </row>
    <row r="40" spans="1:16" ht="15.6" customHeight="1">
      <c r="A40" s="33" t="s">
        <v>312</v>
      </c>
      <c r="B40" s="34" t="s">
        <v>726</v>
      </c>
      <c r="C40" s="34" t="s">
        <v>727</v>
      </c>
      <c r="D40" s="34" t="s">
        <v>728</v>
      </c>
      <c r="E40" s="34" t="s">
        <v>729</v>
      </c>
      <c r="F40" s="34" t="s">
        <v>240</v>
      </c>
      <c r="G40" s="34" t="s">
        <v>730</v>
      </c>
      <c r="H40" s="34" t="s">
        <v>731</v>
      </c>
      <c r="I40" s="38" t="b">
        <v>1</v>
      </c>
      <c r="J40" s="34" t="s">
        <v>554</v>
      </c>
      <c r="K40" s="34" t="s">
        <v>732</v>
      </c>
      <c r="L40" s="34" t="s">
        <v>534</v>
      </c>
      <c r="M40" s="34" t="s">
        <v>515</v>
      </c>
      <c r="N40" s="35">
        <v>46237</v>
      </c>
      <c r="O40" s="36" t="s">
        <v>733</v>
      </c>
      <c r="P40" s="34"/>
    </row>
    <row r="41" spans="1:16" ht="15.6" customHeight="1">
      <c r="A41" s="23" t="s">
        <v>313</v>
      </c>
      <c r="B41" s="34" t="s">
        <v>734</v>
      </c>
      <c r="C41" s="34" t="s">
        <v>735</v>
      </c>
      <c r="D41" s="34" t="s">
        <v>736</v>
      </c>
      <c r="E41" s="34" t="s">
        <v>729</v>
      </c>
      <c r="F41" s="34" t="s">
        <v>241</v>
      </c>
      <c r="G41" s="34" t="s">
        <v>152</v>
      </c>
      <c r="H41" s="34" t="s">
        <v>737</v>
      </c>
      <c r="I41" s="34" t="s">
        <v>90</v>
      </c>
      <c r="J41" s="34" t="s">
        <v>521</v>
      </c>
      <c r="K41" s="34" t="s">
        <v>511</v>
      </c>
      <c r="L41" s="34" t="s">
        <v>601</v>
      </c>
      <c r="M41" s="34" t="s">
        <v>515</v>
      </c>
      <c r="N41" s="35">
        <v>46237</v>
      </c>
      <c r="O41" s="36" t="s">
        <v>676</v>
      </c>
      <c r="P41" s="34"/>
    </row>
    <row r="42" spans="1:16" ht="15.6" customHeight="1">
      <c r="A42" s="23" t="s">
        <v>314</v>
      </c>
      <c r="B42" s="34" t="s">
        <v>738</v>
      </c>
      <c r="C42" s="34" t="s">
        <v>739</v>
      </c>
      <c r="D42" s="34" t="s">
        <v>740</v>
      </c>
      <c r="E42" s="34" t="s">
        <v>729</v>
      </c>
      <c r="F42" s="34" t="s">
        <v>250</v>
      </c>
      <c r="G42" s="34" t="s">
        <v>741</v>
      </c>
      <c r="H42" s="34" t="s">
        <v>742</v>
      </c>
      <c r="I42" s="34" t="s">
        <v>743</v>
      </c>
      <c r="J42" s="34" t="s">
        <v>554</v>
      </c>
      <c r="K42" s="34" t="s">
        <v>744</v>
      </c>
      <c r="L42" s="34" t="s">
        <v>541</v>
      </c>
      <c r="M42" s="34" t="s">
        <v>515</v>
      </c>
      <c r="N42" s="35">
        <v>46237</v>
      </c>
      <c r="O42" s="36" t="s">
        <v>689</v>
      </c>
      <c r="P42" s="34"/>
    </row>
    <row r="43" spans="1:16" ht="15.6" customHeight="1">
      <c r="A43" s="33" t="s">
        <v>315</v>
      </c>
      <c r="B43" s="34" t="s">
        <v>745</v>
      </c>
      <c r="C43" s="34" t="s">
        <v>746</v>
      </c>
      <c r="D43" s="34" t="s">
        <v>747</v>
      </c>
      <c r="E43" s="34" t="s">
        <v>729</v>
      </c>
      <c r="F43" s="34" t="s">
        <v>252</v>
      </c>
      <c r="G43" s="34" t="s">
        <v>748</v>
      </c>
      <c r="H43" s="34" t="s">
        <v>749</v>
      </c>
      <c r="I43" s="34" t="s">
        <v>750</v>
      </c>
      <c r="J43" s="34" t="s">
        <v>554</v>
      </c>
      <c r="K43" s="34" t="s">
        <v>732</v>
      </c>
      <c r="L43" s="34" t="s">
        <v>541</v>
      </c>
      <c r="M43" s="34" t="s">
        <v>515</v>
      </c>
      <c r="N43" s="35">
        <v>46237</v>
      </c>
      <c r="O43" s="36" t="s">
        <v>689</v>
      </c>
      <c r="P43" s="34"/>
    </row>
    <row r="44" spans="1:16" ht="15.6" customHeight="1">
      <c r="A44" s="23" t="s">
        <v>316</v>
      </c>
      <c r="B44" s="34" t="s">
        <v>751</v>
      </c>
      <c r="C44" s="34" t="s">
        <v>752</v>
      </c>
      <c r="D44" s="34" t="s">
        <v>753</v>
      </c>
      <c r="E44" s="34" t="s">
        <v>729</v>
      </c>
      <c r="F44" s="34" t="s">
        <v>253</v>
      </c>
      <c r="G44" s="34" t="s">
        <v>222</v>
      </c>
      <c r="H44" s="34" t="s">
        <v>754</v>
      </c>
      <c r="I44" s="34" t="s">
        <v>256</v>
      </c>
      <c r="J44" s="34" t="s">
        <v>554</v>
      </c>
      <c r="K44" s="34" t="s">
        <v>755</v>
      </c>
      <c r="L44" s="34" t="s">
        <v>514</v>
      </c>
      <c r="M44" s="34" t="s">
        <v>515</v>
      </c>
      <c r="N44" s="35">
        <v>46237</v>
      </c>
      <c r="O44" s="36" t="s">
        <v>622</v>
      </c>
      <c r="P44" s="34"/>
    </row>
    <row r="45" spans="1:16" ht="15.6" customHeight="1">
      <c r="A45" s="23" t="s">
        <v>317</v>
      </c>
      <c r="B45" s="34" t="s">
        <v>756</v>
      </c>
      <c r="C45" s="34" t="s">
        <v>757</v>
      </c>
      <c r="D45" s="34" t="s">
        <v>758</v>
      </c>
      <c r="E45" s="34" t="s">
        <v>729</v>
      </c>
      <c r="F45" s="34" t="s">
        <v>257</v>
      </c>
      <c r="G45" s="34" t="s">
        <v>231</v>
      </c>
      <c r="H45" s="34" t="s">
        <v>759</v>
      </c>
      <c r="I45" s="34" t="s">
        <v>244</v>
      </c>
      <c r="J45" s="34" t="s">
        <v>521</v>
      </c>
      <c r="K45" s="34" t="s">
        <v>760</v>
      </c>
      <c r="L45" s="34" t="s">
        <v>541</v>
      </c>
      <c r="M45" s="34" t="s">
        <v>515</v>
      </c>
      <c r="N45" s="35">
        <v>46237</v>
      </c>
      <c r="O45" s="36" t="s">
        <v>543</v>
      </c>
      <c r="P45" s="34"/>
    </row>
  </sheetData>
  <mergeCells count="1">
    <mergeCell ref="A1:P1"/>
  </mergeCells>
  <conditionalFormatting sqref="M4:M45">
    <cfRule type="expression" dxfId="3" priority="1">
      <formula>M4="Pass"</formula>
    </cfRule>
    <cfRule type="expression" dxfId="2" priority="2">
      <formula>M4="Pending"</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14"/>
  <sheetViews>
    <sheetView workbookViewId="0">
      <selection activeCell="B17" sqref="B17"/>
    </sheetView>
  </sheetViews>
  <sheetFormatPr defaultColWidth="19" defaultRowHeight="15.6"/>
  <cols>
    <col min="1" max="1" width="25" style="2" customWidth="1"/>
    <col min="2" max="2" width="18" style="2" customWidth="1"/>
    <col min="3" max="4" width="20" style="2" customWidth="1"/>
    <col min="5" max="6" width="24" style="2" customWidth="1"/>
    <col min="7" max="16384" width="19" style="2"/>
  </cols>
  <sheetData>
    <row r="1" spans="1:6" ht="24" customHeight="1">
      <c r="A1" s="17" t="s">
        <v>761</v>
      </c>
      <c r="B1" s="17"/>
      <c r="C1" s="17"/>
      <c r="D1" s="17"/>
      <c r="E1" s="17"/>
      <c r="F1" s="17"/>
    </row>
    <row r="3" spans="1:6" ht="31.2">
      <c r="A3" s="19" t="s">
        <v>762</v>
      </c>
      <c r="B3" s="19" t="s">
        <v>763</v>
      </c>
      <c r="C3" s="19" t="s">
        <v>764</v>
      </c>
      <c r="D3" s="19" t="s">
        <v>765</v>
      </c>
      <c r="E3" s="19" t="s">
        <v>766</v>
      </c>
      <c r="F3" s="19" t="s">
        <v>767</v>
      </c>
    </row>
    <row r="4" spans="1:6">
      <c r="A4" s="23" t="s">
        <v>511</v>
      </c>
      <c r="B4" s="24">
        <v>10</v>
      </c>
      <c r="C4" s="24">
        <v>10</v>
      </c>
      <c r="D4" s="24">
        <v>8</v>
      </c>
      <c r="E4" s="24">
        <v>2</v>
      </c>
      <c r="F4" s="2">
        <v>0</v>
      </c>
    </row>
    <row r="5" spans="1:6">
      <c r="A5" s="23" t="s">
        <v>528</v>
      </c>
      <c r="B5" s="24">
        <v>5</v>
      </c>
      <c r="C5" s="24">
        <v>5</v>
      </c>
      <c r="D5" s="24">
        <v>5</v>
      </c>
      <c r="E5" s="24">
        <v>0</v>
      </c>
      <c r="F5" s="2">
        <v>0</v>
      </c>
    </row>
    <row r="6" spans="1:6">
      <c r="A6" s="23" t="s">
        <v>648</v>
      </c>
      <c r="B6" s="24">
        <v>0</v>
      </c>
      <c r="C6" s="24">
        <v>0</v>
      </c>
      <c r="D6" s="24">
        <v>0</v>
      </c>
      <c r="E6" s="24">
        <v>0</v>
      </c>
      <c r="F6" s="2">
        <v>0</v>
      </c>
    </row>
    <row r="7" spans="1:6">
      <c r="A7" s="23" t="s">
        <v>598</v>
      </c>
      <c r="B7" s="24">
        <v>6</v>
      </c>
      <c r="C7" s="24">
        <v>6</v>
      </c>
      <c r="D7" s="24">
        <v>5</v>
      </c>
      <c r="E7" s="24">
        <v>1</v>
      </c>
      <c r="F7" s="2">
        <v>0</v>
      </c>
    </row>
    <row r="8" spans="1:6">
      <c r="A8" s="23" t="s">
        <v>631</v>
      </c>
      <c r="B8" s="24">
        <v>7</v>
      </c>
      <c r="C8" s="24">
        <v>7</v>
      </c>
      <c r="D8" s="24">
        <v>7</v>
      </c>
      <c r="E8" s="24">
        <v>0</v>
      </c>
      <c r="F8" s="2">
        <v>0</v>
      </c>
    </row>
    <row r="9" spans="1:6">
      <c r="A9" s="23" t="s">
        <v>673</v>
      </c>
      <c r="B9" s="24">
        <v>8</v>
      </c>
      <c r="C9" s="24">
        <v>8</v>
      </c>
      <c r="D9" s="24">
        <v>6</v>
      </c>
      <c r="E9" s="24">
        <v>2</v>
      </c>
      <c r="F9" s="2">
        <v>0</v>
      </c>
    </row>
    <row r="10" spans="1:6">
      <c r="A10" s="23" t="s">
        <v>729</v>
      </c>
      <c r="B10" s="24">
        <v>6</v>
      </c>
      <c r="C10" s="24">
        <v>6</v>
      </c>
      <c r="D10" s="24">
        <v>6</v>
      </c>
      <c r="E10" s="24">
        <v>0</v>
      </c>
      <c r="F10" s="2">
        <v>0</v>
      </c>
    </row>
    <row r="11" spans="1:6">
      <c r="A11" s="25" t="s">
        <v>768</v>
      </c>
      <c r="B11" s="25">
        <v>42</v>
      </c>
      <c r="C11" s="25">
        <v>42</v>
      </c>
      <c r="D11" s="25">
        <v>37</v>
      </c>
      <c r="E11" s="25">
        <v>5</v>
      </c>
      <c r="F11" s="25">
        <v>0</v>
      </c>
    </row>
    <row r="13" spans="1:6">
      <c r="A13" s="30" t="s">
        <v>348</v>
      </c>
      <c r="B13" s="31" t="s">
        <v>769</v>
      </c>
      <c r="C13" s="31"/>
      <c r="D13" s="31"/>
      <c r="E13" s="31"/>
      <c r="F13" s="31"/>
    </row>
    <row r="14" spans="1:6">
      <c r="A14" s="30"/>
      <c r="B14" s="31"/>
      <c r="C14" s="31"/>
      <c r="D14" s="31"/>
      <c r="E14" s="31"/>
      <c r="F14" s="31"/>
    </row>
  </sheetData>
  <mergeCells count="2">
    <mergeCell ref="A1:F1"/>
    <mergeCell ref="B13:F14"/>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0000"/>
  </sheetPr>
  <dimension ref="A1:J15"/>
  <sheetViews>
    <sheetView tabSelected="1" workbookViewId="0">
      <selection activeCell="I19" sqref="I19"/>
    </sheetView>
  </sheetViews>
  <sheetFormatPr defaultRowHeight="15.6"/>
  <cols>
    <col min="1" max="1" width="21.09765625" style="2" customWidth="1"/>
    <col min="2" max="2" width="11.796875" style="2" customWidth="1"/>
    <col min="3" max="3" width="12.8984375" style="2" customWidth="1"/>
    <col min="4" max="10" width="11.796875" style="2" customWidth="1"/>
    <col min="11" max="16384" width="8.796875" style="2"/>
  </cols>
  <sheetData>
    <row r="1" spans="1:10" ht="24" customHeight="1">
      <c r="A1" s="22" t="s">
        <v>770</v>
      </c>
      <c r="B1" s="22"/>
      <c r="C1" s="22"/>
      <c r="D1" s="22"/>
      <c r="E1" s="22"/>
      <c r="F1" s="22"/>
      <c r="G1" s="22"/>
      <c r="H1" s="22"/>
      <c r="I1" s="22"/>
      <c r="J1" s="17"/>
    </row>
    <row r="3" spans="1:10" ht="28.8" customHeight="1">
      <c r="A3" s="19" t="s">
        <v>762</v>
      </c>
      <c r="B3" s="19" t="s">
        <v>771</v>
      </c>
      <c r="C3" s="19" t="s">
        <v>772</v>
      </c>
      <c r="D3" s="19" t="s">
        <v>773</v>
      </c>
      <c r="E3" s="19" t="s">
        <v>774</v>
      </c>
      <c r="F3" s="19" t="s">
        <v>775</v>
      </c>
      <c r="G3" s="19" t="s">
        <v>776</v>
      </c>
      <c r="H3" s="19" t="s">
        <v>777</v>
      </c>
      <c r="I3" s="19" t="s">
        <v>778</v>
      </c>
      <c r="J3" s="19" t="s">
        <v>779</v>
      </c>
    </row>
    <row r="4" spans="1:10">
      <c r="A4" s="23" t="s">
        <v>511</v>
      </c>
      <c r="B4" s="24">
        <v>20</v>
      </c>
      <c r="C4" s="2">
        <v>0</v>
      </c>
      <c r="D4" s="2">
        <v>0</v>
      </c>
      <c r="E4" s="2">
        <v>0</v>
      </c>
      <c r="F4" s="2">
        <v>0</v>
      </c>
      <c r="G4" s="2">
        <v>0</v>
      </c>
      <c r="H4" s="2">
        <v>0</v>
      </c>
      <c r="I4" s="2">
        <v>0</v>
      </c>
      <c r="J4" s="2">
        <v>2</v>
      </c>
    </row>
    <row r="5" spans="1:10">
      <c r="A5" s="23" t="s">
        <v>528</v>
      </c>
      <c r="B5" s="24">
        <v>8</v>
      </c>
      <c r="C5" s="2">
        <v>0</v>
      </c>
      <c r="D5" s="2">
        <v>0</v>
      </c>
      <c r="E5" s="2">
        <v>0</v>
      </c>
      <c r="F5" s="2">
        <v>0</v>
      </c>
      <c r="G5" s="2">
        <v>0</v>
      </c>
      <c r="H5" s="2">
        <v>0</v>
      </c>
      <c r="I5" s="2">
        <f t="shared" ref="I5:I10" si="0">SUM(C5:H5)</f>
        <v>0</v>
      </c>
      <c r="J5" s="2">
        <v>0</v>
      </c>
    </row>
    <row r="6" spans="1:10">
      <c r="A6" s="23" t="s">
        <v>648</v>
      </c>
      <c r="B6" s="24">
        <v>3</v>
      </c>
      <c r="C6" s="2">
        <v>0</v>
      </c>
      <c r="D6" s="2">
        <v>0</v>
      </c>
      <c r="E6" s="2">
        <v>0</v>
      </c>
      <c r="F6" s="2">
        <v>0</v>
      </c>
      <c r="G6" s="2">
        <v>0</v>
      </c>
      <c r="H6" s="2">
        <v>0</v>
      </c>
      <c r="I6" s="2">
        <f t="shared" si="0"/>
        <v>0</v>
      </c>
      <c r="J6" s="2">
        <v>0</v>
      </c>
    </row>
    <row r="7" spans="1:10">
      <c r="A7" s="23" t="s">
        <v>598</v>
      </c>
      <c r="B7" s="24">
        <v>33</v>
      </c>
      <c r="C7" s="2">
        <v>0</v>
      </c>
      <c r="D7" s="2">
        <v>0</v>
      </c>
      <c r="E7" s="2">
        <v>0</v>
      </c>
      <c r="F7" s="2">
        <v>0</v>
      </c>
      <c r="G7" s="2">
        <v>0</v>
      </c>
      <c r="H7" s="2">
        <v>0</v>
      </c>
      <c r="I7" s="2">
        <f t="shared" si="0"/>
        <v>0</v>
      </c>
      <c r="J7" s="2">
        <v>1</v>
      </c>
    </row>
    <row r="8" spans="1:10">
      <c r="A8" s="23" t="s">
        <v>631</v>
      </c>
      <c r="B8" s="24">
        <v>271</v>
      </c>
      <c r="C8" s="2">
        <v>0</v>
      </c>
      <c r="D8" s="2">
        <v>0</v>
      </c>
      <c r="E8" s="2">
        <v>0</v>
      </c>
      <c r="F8" s="2">
        <v>0</v>
      </c>
      <c r="G8" s="2">
        <v>0</v>
      </c>
      <c r="H8" s="2">
        <v>0</v>
      </c>
      <c r="I8" s="2">
        <f t="shared" si="0"/>
        <v>0</v>
      </c>
      <c r="J8" s="2">
        <v>0</v>
      </c>
    </row>
    <row r="9" spans="1:10">
      <c r="A9" s="23" t="s">
        <v>673</v>
      </c>
      <c r="B9" s="24">
        <v>24</v>
      </c>
      <c r="C9" s="2">
        <v>0</v>
      </c>
      <c r="D9" s="2">
        <v>0</v>
      </c>
      <c r="E9" s="2">
        <v>0</v>
      </c>
      <c r="F9" s="2">
        <v>0</v>
      </c>
      <c r="G9" s="2">
        <v>0</v>
      </c>
      <c r="H9" s="2">
        <v>0</v>
      </c>
      <c r="I9" s="2">
        <f t="shared" si="0"/>
        <v>0</v>
      </c>
      <c r="J9" s="2">
        <v>2</v>
      </c>
    </row>
    <row r="10" spans="1:10">
      <c r="A10" s="23" t="s">
        <v>729</v>
      </c>
      <c r="B10" s="2">
        <v>15</v>
      </c>
      <c r="C10" s="2">
        <v>0</v>
      </c>
      <c r="D10" s="2">
        <v>0</v>
      </c>
      <c r="E10" s="2">
        <v>0</v>
      </c>
      <c r="F10" s="2">
        <v>0</v>
      </c>
      <c r="G10" s="2">
        <v>0</v>
      </c>
      <c r="H10" s="2">
        <v>0</v>
      </c>
      <c r="I10" s="2">
        <f t="shared" si="0"/>
        <v>0</v>
      </c>
      <c r="J10" s="2">
        <v>0</v>
      </c>
    </row>
    <row r="11" spans="1:10">
      <c r="A11" s="25" t="s">
        <v>768</v>
      </c>
      <c r="B11" s="25">
        <v>374</v>
      </c>
      <c r="C11" s="25">
        <v>0</v>
      </c>
      <c r="D11" s="25">
        <v>0</v>
      </c>
      <c r="E11" s="25">
        <v>0</v>
      </c>
      <c r="F11" s="25">
        <v>0</v>
      </c>
      <c r="G11" s="25">
        <v>0</v>
      </c>
      <c r="H11" s="25">
        <v>0</v>
      </c>
      <c r="I11" s="25">
        <v>0</v>
      </c>
      <c r="J11" s="25">
        <v>5</v>
      </c>
    </row>
    <row r="12" spans="1:10" ht="27.75" customHeight="1">
      <c r="A12" s="26"/>
      <c r="B12" s="26"/>
      <c r="C12" s="26"/>
      <c r="D12" s="26"/>
      <c r="E12" s="26"/>
      <c r="F12" s="26"/>
      <c r="G12" s="26"/>
      <c r="H12" s="26"/>
      <c r="I12" s="26"/>
    </row>
    <row r="13" spans="1:10">
      <c r="A13" s="27" t="s">
        <v>348</v>
      </c>
      <c r="B13" s="28" t="s">
        <v>780</v>
      </c>
      <c r="C13" s="28"/>
      <c r="D13" s="28"/>
      <c r="E13" s="28"/>
      <c r="F13" s="28"/>
      <c r="G13" s="28"/>
      <c r="H13" s="28"/>
      <c r="I13" s="28"/>
      <c r="J13" s="28"/>
    </row>
    <row r="14" spans="1:10">
      <c r="A14" s="27"/>
      <c r="B14" s="28"/>
      <c r="C14" s="28"/>
      <c r="D14" s="28"/>
      <c r="E14" s="28"/>
      <c r="F14" s="28"/>
      <c r="G14" s="28"/>
      <c r="H14" s="28"/>
      <c r="I14" s="28"/>
      <c r="J14" s="28"/>
    </row>
    <row r="15" spans="1:10">
      <c r="A15" s="27"/>
      <c r="B15" s="28"/>
      <c r="C15" s="28"/>
      <c r="D15" s="28"/>
      <c r="E15" s="28"/>
      <c r="F15" s="28"/>
      <c r="G15" s="28"/>
      <c r="H15" s="28"/>
      <c r="I15" s="28"/>
      <c r="J15" s="28"/>
    </row>
  </sheetData>
  <mergeCells count="3">
    <mergeCell ref="A12:I12"/>
    <mergeCell ref="A1:J1"/>
    <mergeCell ref="B13:J15"/>
  </mergeCells>
  <conditionalFormatting sqref="I4:I10">
    <cfRule type="dataBar" priority="1">
      <dataBar>
        <cfvo type="min"/>
        <cfvo type="max"/>
        <color rgb="FF2F75B5"/>
      </dataBar>
    </cfRule>
    <cfRule type="dataBar" priority="2">
      <dataBar>
        <cfvo type="min"/>
        <cfvo type="max"/>
        <color rgb="FF2F75B5"/>
      </dataBar>
    </cfRule>
    <cfRule type="dataBar" priority="3">
      <dataBar>
        <cfvo type="min"/>
        <cfvo type="max"/>
        <color rgb="FF2F75B5"/>
      </dataBar>
      <extLst>
        <ext xmlns:x14="http://schemas.microsoft.com/office/spreadsheetml/2009/9/main" uri="{B025F937-C7B1-47D3-B67F-A62EFF666E3E}">
          <x14:id>{0B0299FA-CAA1-4DA8-8F3D-A089F3395127}</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0B0299FA-CAA1-4DA8-8F3D-A089F3395127}">
            <x14:dataBar>
              <x14:cfvo type="min"/>
              <x14:cfvo type="max"/>
              <x14:negativeFillColor auto="1"/>
              <x14:axisColor auto="1"/>
            </x14:dataBar>
          </x14:cfRule>
          <xm:sqref>I4:I10</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40"/>
  <sheetViews>
    <sheetView topLeftCell="A21" workbookViewId="0">
      <selection activeCell="C21" sqref="C21"/>
    </sheetView>
  </sheetViews>
  <sheetFormatPr defaultRowHeight="15.6"/>
  <cols>
    <col min="1" max="1" width="27" style="2" customWidth="1"/>
    <col min="2" max="2" width="76.59765625" style="2" bestFit="1" customWidth="1"/>
    <col min="3" max="3" width="38" style="2" customWidth="1"/>
    <col min="4" max="4" width="15" style="2" customWidth="1"/>
    <col min="5" max="5" width="38" style="2" customWidth="1"/>
    <col min="6" max="6" width="35" style="2" customWidth="1"/>
    <col min="7" max="16384" width="8.796875" style="2"/>
  </cols>
  <sheetData>
    <row r="1" spans="1:6" ht="24" customHeight="1">
      <c r="A1" s="17" t="s">
        <v>781</v>
      </c>
      <c r="B1" s="17"/>
      <c r="C1" s="17"/>
      <c r="D1" s="17"/>
      <c r="E1" s="17"/>
      <c r="F1" s="17"/>
    </row>
    <row r="3" spans="1:6" ht="17.399999999999999">
      <c r="A3" s="18" t="s">
        <v>782</v>
      </c>
      <c r="B3" s="18"/>
      <c r="C3" s="18"/>
      <c r="D3" s="18"/>
      <c r="E3" s="18"/>
      <c r="F3" s="18"/>
    </row>
    <row r="5" spans="1:6">
      <c r="A5" s="68" t="s">
        <v>783</v>
      </c>
      <c r="B5" s="68"/>
      <c r="C5" s="68"/>
      <c r="D5" s="68"/>
      <c r="E5" s="68"/>
      <c r="F5" s="68"/>
    </row>
    <row r="6" spans="1:6">
      <c r="A6" s="68"/>
      <c r="B6" s="68"/>
      <c r="C6" s="68"/>
      <c r="D6" s="68"/>
      <c r="E6" s="68"/>
      <c r="F6" s="68"/>
    </row>
    <row r="7" spans="1:6">
      <c r="A7" s="68"/>
      <c r="B7" s="68"/>
      <c r="C7" s="68"/>
      <c r="D7" s="68"/>
      <c r="E7" s="68"/>
      <c r="F7" s="68"/>
    </row>
    <row r="9" spans="1:6" ht="17.399999999999999">
      <c r="A9" s="18" t="s">
        <v>784</v>
      </c>
      <c r="B9" s="18"/>
      <c r="C9" s="18"/>
      <c r="D9" s="18"/>
      <c r="E9" s="18"/>
      <c r="F9" s="18"/>
    </row>
    <row r="11" spans="1:6">
      <c r="A11" s="19" t="s">
        <v>785</v>
      </c>
      <c r="B11" s="19" t="s">
        <v>786</v>
      </c>
      <c r="C11" s="19" t="s">
        <v>787</v>
      </c>
    </row>
    <row r="12" spans="1:6">
      <c r="A12" s="2" t="s">
        <v>788</v>
      </c>
      <c r="B12" s="2" t="s">
        <v>789</v>
      </c>
      <c r="C12" s="2" t="s">
        <v>790</v>
      </c>
    </row>
    <row r="13" spans="1:6">
      <c r="A13" s="2" t="s">
        <v>791</v>
      </c>
      <c r="B13" s="2" t="s">
        <v>792</v>
      </c>
      <c r="C13" s="2" t="s">
        <v>793</v>
      </c>
    </row>
    <row r="14" spans="1:6">
      <c r="A14" s="2" t="s">
        <v>794</v>
      </c>
      <c r="B14" s="2" t="s">
        <v>795</v>
      </c>
      <c r="C14" s="2" t="s">
        <v>796</v>
      </c>
    </row>
    <row r="15" spans="1:6">
      <c r="A15" s="2" t="s">
        <v>797</v>
      </c>
      <c r="B15" s="2" t="s">
        <v>798</v>
      </c>
      <c r="C15" s="2" t="s">
        <v>799</v>
      </c>
    </row>
    <row r="16" spans="1:6">
      <c r="A16" s="2" t="s">
        <v>800</v>
      </c>
      <c r="B16" s="2" t="s">
        <v>801</v>
      </c>
      <c r="C16" s="2" t="s">
        <v>802</v>
      </c>
    </row>
    <row r="17" spans="1:6">
      <c r="A17" s="2" t="s">
        <v>803</v>
      </c>
      <c r="B17" s="2" t="s">
        <v>804</v>
      </c>
      <c r="C17" s="2" t="s">
        <v>475</v>
      </c>
    </row>
    <row r="18" spans="1:6">
      <c r="A18" s="2" t="s">
        <v>805</v>
      </c>
      <c r="B18" s="2" t="s">
        <v>806</v>
      </c>
      <c r="C18" s="2" t="s">
        <v>458</v>
      </c>
    </row>
    <row r="21" spans="1:6" ht="17.399999999999999">
      <c r="A21" s="20" t="s">
        <v>807</v>
      </c>
      <c r="B21" s="20"/>
      <c r="C21" s="20"/>
      <c r="D21" s="18" t="s">
        <v>808</v>
      </c>
      <c r="E21" s="18"/>
      <c r="F21" s="18"/>
    </row>
    <row r="23" spans="1:6">
      <c r="A23" s="19" t="s">
        <v>346</v>
      </c>
      <c r="B23" s="19" t="s">
        <v>347</v>
      </c>
      <c r="D23" s="19" t="s">
        <v>809</v>
      </c>
      <c r="E23" s="19" t="s">
        <v>810</v>
      </c>
      <c r="F23" s="19" t="s">
        <v>811</v>
      </c>
    </row>
    <row r="24" spans="1:6">
      <c r="A24" s="2" t="s">
        <v>355</v>
      </c>
      <c r="B24" s="2">
        <v>7</v>
      </c>
      <c r="D24" s="2" t="s">
        <v>812</v>
      </c>
      <c r="E24" s="2" t="s">
        <v>813</v>
      </c>
      <c r="F24" s="2" t="s">
        <v>814</v>
      </c>
    </row>
    <row r="25" spans="1:6">
      <c r="A25" s="2" t="s">
        <v>815</v>
      </c>
      <c r="B25" s="2">
        <v>42</v>
      </c>
      <c r="D25" s="2" t="s">
        <v>816</v>
      </c>
      <c r="E25" s="2" t="s">
        <v>817</v>
      </c>
      <c r="F25" s="2" t="s">
        <v>818</v>
      </c>
    </row>
    <row r="26" spans="1:6">
      <c r="A26" s="2" t="s">
        <v>361</v>
      </c>
      <c r="B26" s="2">
        <v>42</v>
      </c>
      <c r="D26" s="2" t="s">
        <v>819</v>
      </c>
      <c r="E26" s="2" t="s">
        <v>820</v>
      </c>
      <c r="F26" s="2" t="s">
        <v>821</v>
      </c>
    </row>
    <row r="27" spans="1:6">
      <c r="A27" s="2" t="s">
        <v>822</v>
      </c>
      <c r="B27" s="2">
        <v>37</v>
      </c>
      <c r="D27" s="2" t="s">
        <v>823</v>
      </c>
      <c r="E27" s="2" t="s">
        <v>824</v>
      </c>
      <c r="F27" s="2" t="s">
        <v>825</v>
      </c>
    </row>
    <row r="28" spans="1:6">
      <c r="A28" s="2" t="s">
        <v>367</v>
      </c>
      <c r="B28" s="2">
        <v>5</v>
      </c>
      <c r="D28" s="2" t="s">
        <v>826</v>
      </c>
      <c r="E28" s="2" t="s">
        <v>827</v>
      </c>
      <c r="F28" s="2" t="s">
        <v>828</v>
      </c>
    </row>
    <row r="29" spans="1:6">
      <c r="A29" s="2" t="s">
        <v>370</v>
      </c>
      <c r="B29" s="2">
        <v>0</v>
      </c>
      <c r="D29" s="2" t="s">
        <v>829</v>
      </c>
      <c r="E29" s="2" t="s">
        <v>830</v>
      </c>
      <c r="F29" s="2" t="s">
        <v>831</v>
      </c>
    </row>
    <row r="32" spans="1:6" ht="17.399999999999999">
      <c r="A32" s="18" t="s">
        <v>832</v>
      </c>
      <c r="B32" s="18"/>
      <c r="C32" s="18"/>
      <c r="D32" s="18"/>
      <c r="E32" s="18"/>
      <c r="F32" s="18"/>
    </row>
    <row r="34" spans="1:6">
      <c r="A34" s="21" t="s">
        <v>833</v>
      </c>
      <c r="B34" s="21"/>
      <c r="C34" s="21"/>
      <c r="D34" s="21"/>
      <c r="E34" s="21"/>
      <c r="F34" s="21"/>
    </row>
    <row r="35" spans="1:6">
      <c r="A35" s="21"/>
      <c r="B35" s="21"/>
      <c r="C35" s="21"/>
      <c r="D35" s="21"/>
      <c r="E35" s="21"/>
      <c r="F35" s="21"/>
    </row>
    <row r="37" spans="1:6" ht="19.2" customHeight="1">
      <c r="A37" s="15" t="s">
        <v>834</v>
      </c>
      <c r="B37" s="15"/>
      <c r="C37" s="15"/>
      <c r="D37" s="15"/>
      <c r="E37" s="15"/>
      <c r="F37" s="15"/>
    </row>
    <row r="39" spans="1:6">
      <c r="A39" s="69" t="s">
        <v>835</v>
      </c>
      <c r="B39" s="69"/>
      <c r="C39" s="69"/>
      <c r="D39" s="69"/>
      <c r="E39" s="69"/>
      <c r="F39" s="69"/>
    </row>
    <row r="40" spans="1:6">
      <c r="A40" s="69"/>
      <c r="B40" s="69"/>
      <c r="C40" s="69"/>
      <c r="D40" s="69"/>
      <c r="E40" s="69"/>
      <c r="F40" s="69"/>
    </row>
  </sheetData>
  <mergeCells count="9">
    <mergeCell ref="A32:F32"/>
    <mergeCell ref="A34:F35"/>
    <mergeCell ref="A37:F37"/>
    <mergeCell ref="A39:F40"/>
    <mergeCell ref="A1:F1"/>
    <mergeCell ref="A3:F3"/>
    <mergeCell ref="A5:F7"/>
    <mergeCell ref="A9:F9"/>
    <mergeCell ref="D21:F2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20"/>
  <sheetViews>
    <sheetView workbookViewId="0">
      <selection activeCell="C26" sqref="C26"/>
    </sheetView>
  </sheetViews>
  <sheetFormatPr defaultRowHeight="15.6"/>
  <cols>
    <col min="1" max="1" width="12" style="2" customWidth="1"/>
    <col min="2" max="2" width="35" style="2" customWidth="1"/>
    <col min="3" max="3" width="31.296875" style="2" customWidth="1"/>
    <col min="4" max="5" width="28" style="2" customWidth="1"/>
    <col min="6" max="6" width="22" style="2" customWidth="1"/>
    <col min="7" max="7" width="24" style="2" customWidth="1"/>
    <col min="8" max="9" width="35" style="2" customWidth="1"/>
    <col min="10" max="10" width="18" style="2" customWidth="1"/>
    <col min="11" max="16384" width="8.796875" style="2"/>
  </cols>
  <sheetData>
    <row r="1" spans="1:10" ht="27.15" customHeight="1">
      <c r="A1" s="1" t="s">
        <v>836</v>
      </c>
      <c r="B1" s="1"/>
      <c r="C1" s="1"/>
      <c r="D1" s="1"/>
      <c r="E1" s="1"/>
      <c r="F1" s="1"/>
      <c r="G1" s="1"/>
      <c r="H1" s="1"/>
      <c r="I1" s="1"/>
      <c r="J1" s="1"/>
    </row>
    <row r="3" spans="1:10">
      <c r="A3" s="3" t="s">
        <v>837</v>
      </c>
      <c r="B3" s="4" t="s">
        <v>838</v>
      </c>
      <c r="C3" s="4" t="s">
        <v>787</v>
      </c>
      <c r="D3" s="4" t="s">
        <v>839</v>
      </c>
      <c r="E3" s="4" t="s">
        <v>840</v>
      </c>
      <c r="F3" s="4" t="s">
        <v>321</v>
      </c>
      <c r="G3" s="4" t="s">
        <v>841</v>
      </c>
      <c r="H3" s="4" t="s">
        <v>842</v>
      </c>
      <c r="I3" s="4" t="s">
        <v>843</v>
      </c>
      <c r="J3" s="5" t="s">
        <v>844</v>
      </c>
    </row>
    <row r="4" spans="1:10" ht="31.2">
      <c r="A4" s="6" t="s">
        <v>845</v>
      </c>
      <c r="B4" s="7" t="s">
        <v>846</v>
      </c>
      <c r="C4" s="7" t="s">
        <v>847</v>
      </c>
      <c r="D4" s="7" t="s">
        <v>848</v>
      </c>
      <c r="E4" s="7" t="s">
        <v>849</v>
      </c>
      <c r="F4" s="7" t="s">
        <v>850</v>
      </c>
      <c r="G4" s="7" t="s">
        <v>851</v>
      </c>
      <c r="H4" s="7" t="s">
        <v>852</v>
      </c>
      <c r="I4" s="7" t="s">
        <v>853</v>
      </c>
      <c r="J4" s="8" t="s">
        <v>854</v>
      </c>
    </row>
    <row r="5" spans="1:10">
      <c r="A5" s="9" t="s">
        <v>855</v>
      </c>
      <c r="B5" s="10" t="s">
        <v>856</v>
      </c>
      <c r="C5" s="10" t="s">
        <v>857</v>
      </c>
      <c r="D5" s="10" t="s">
        <v>858</v>
      </c>
      <c r="E5" s="10" t="s">
        <v>859</v>
      </c>
      <c r="F5" s="10" t="s">
        <v>850</v>
      </c>
      <c r="G5" s="10" t="s">
        <v>851</v>
      </c>
      <c r="H5" s="10" t="s">
        <v>860</v>
      </c>
      <c r="I5" s="10" t="s">
        <v>861</v>
      </c>
      <c r="J5" s="11" t="s">
        <v>854</v>
      </c>
    </row>
    <row r="6" spans="1:10">
      <c r="A6" s="9" t="s">
        <v>862</v>
      </c>
      <c r="B6" s="10" t="s">
        <v>863</v>
      </c>
      <c r="C6" s="10" t="s">
        <v>864</v>
      </c>
      <c r="D6" s="10" t="s">
        <v>865</v>
      </c>
      <c r="E6" s="10" t="s">
        <v>865</v>
      </c>
      <c r="F6" s="10" t="s">
        <v>850</v>
      </c>
      <c r="G6" s="10" t="s">
        <v>866</v>
      </c>
      <c r="H6" s="10" t="s">
        <v>867</v>
      </c>
      <c r="I6" s="10" t="s">
        <v>868</v>
      </c>
      <c r="J6" s="11" t="s">
        <v>854</v>
      </c>
    </row>
    <row r="7" spans="1:10">
      <c r="A7" s="9" t="s">
        <v>869</v>
      </c>
      <c r="B7" s="10" t="s">
        <v>870</v>
      </c>
      <c r="C7" s="10" t="s">
        <v>475</v>
      </c>
      <c r="D7" s="10" t="s">
        <v>871</v>
      </c>
      <c r="E7" s="10" t="s">
        <v>871</v>
      </c>
      <c r="F7" s="10" t="s">
        <v>850</v>
      </c>
      <c r="G7" s="10" t="s">
        <v>872</v>
      </c>
      <c r="H7" s="10" t="s">
        <v>873</v>
      </c>
      <c r="I7" s="10" t="s">
        <v>874</v>
      </c>
      <c r="J7" s="11" t="s">
        <v>854</v>
      </c>
    </row>
    <row r="8" spans="1:10">
      <c r="A8" s="9" t="s">
        <v>875</v>
      </c>
      <c r="B8" s="10" t="s">
        <v>876</v>
      </c>
      <c r="C8" s="10" t="s">
        <v>475</v>
      </c>
      <c r="D8" s="10" t="s">
        <v>877</v>
      </c>
      <c r="E8" s="10" t="s">
        <v>878</v>
      </c>
      <c r="F8" s="10" t="s">
        <v>850</v>
      </c>
      <c r="G8" s="10" t="s">
        <v>879</v>
      </c>
      <c r="H8" s="10" t="s">
        <v>880</v>
      </c>
      <c r="I8" s="10" t="s">
        <v>868</v>
      </c>
      <c r="J8" s="11" t="s">
        <v>854</v>
      </c>
    </row>
    <row r="9" spans="1:10">
      <c r="A9" s="9" t="s">
        <v>881</v>
      </c>
      <c r="B9" s="10" t="s">
        <v>882</v>
      </c>
      <c r="C9" s="10" t="s">
        <v>475</v>
      </c>
      <c r="D9" s="10" t="s">
        <v>883</v>
      </c>
      <c r="E9" s="10" t="s">
        <v>878</v>
      </c>
      <c r="F9" s="10" t="s">
        <v>850</v>
      </c>
      <c r="G9" s="10" t="s">
        <v>884</v>
      </c>
      <c r="H9" s="10" t="s">
        <v>885</v>
      </c>
      <c r="I9" s="10" t="s">
        <v>868</v>
      </c>
      <c r="J9" s="11" t="s">
        <v>854</v>
      </c>
    </row>
    <row r="10" spans="1:10">
      <c r="A10" s="9" t="s">
        <v>886</v>
      </c>
      <c r="B10" s="10" t="s">
        <v>887</v>
      </c>
      <c r="C10" s="10" t="s">
        <v>475</v>
      </c>
      <c r="D10" s="10" t="s">
        <v>888</v>
      </c>
      <c r="E10" s="10" t="s">
        <v>878</v>
      </c>
      <c r="F10" s="10" t="s">
        <v>850</v>
      </c>
      <c r="G10" s="10" t="s">
        <v>889</v>
      </c>
      <c r="H10" s="10" t="s">
        <v>890</v>
      </c>
      <c r="I10" s="10" t="s">
        <v>868</v>
      </c>
      <c r="J10" s="11" t="s">
        <v>854</v>
      </c>
    </row>
    <row r="11" spans="1:10">
      <c r="A11" s="9" t="s">
        <v>891</v>
      </c>
      <c r="B11" s="10" t="s">
        <v>892</v>
      </c>
      <c r="C11" s="10" t="s">
        <v>458</v>
      </c>
      <c r="D11" s="10" t="s">
        <v>893</v>
      </c>
      <c r="E11" s="10" t="s">
        <v>894</v>
      </c>
      <c r="F11" s="10" t="s">
        <v>850</v>
      </c>
      <c r="G11" s="10" t="s">
        <v>879</v>
      </c>
      <c r="H11" s="10" t="s">
        <v>895</v>
      </c>
      <c r="I11" s="10" t="s">
        <v>896</v>
      </c>
      <c r="J11" s="11" t="s">
        <v>854</v>
      </c>
    </row>
    <row r="12" spans="1:10" ht="31.2">
      <c r="A12" s="9" t="s">
        <v>897</v>
      </c>
      <c r="B12" s="10" t="s">
        <v>898</v>
      </c>
      <c r="C12" s="10" t="s">
        <v>899</v>
      </c>
      <c r="D12" s="10" t="s">
        <v>900</v>
      </c>
      <c r="E12" s="10" t="s">
        <v>901</v>
      </c>
      <c r="F12" s="10" t="s">
        <v>902</v>
      </c>
      <c r="G12" s="10" t="s">
        <v>851</v>
      </c>
      <c r="H12" s="10" t="s">
        <v>903</v>
      </c>
      <c r="I12" s="10" t="s">
        <v>904</v>
      </c>
      <c r="J12" s="11" t="s">
        <v>854</v>
      </c>
    </row>
    <row r="13" spans="1:10" ht="31.2">
      <c r="A13" s="9" t="s">
        <v>905</v>
      </c>
      <c r="B13" s="10" t="s">
        <v>906</v>
      </c>
      <c r="C13" s="10" t="s">
        <v>907</v>
      </c>
      <c r="D13" s="10" t="s">
        <v>908</v>
      </c>
      <c r="E13" s="10" t="s">
        <v>909</v>
      </c>
      <c r="F13" s="10" t="s">
        <v>850</v>
      </c>
      <c r="G13" s="10" t="s">
        <v>872</v>
      </c>
      <c r="H13" s="10" t="s">
        <v>910</v>
      </c>
      <c r="I13" s="10" t="s">
        <v>868</v>
      </c>
      <c r="J13" s="11" t="s">
        <v>854</v>
      </c>
    </row>
    <row r="14" spans="1:10">
      <c r="A14" s="12" t="s">
        <v>911</v>
      </c>
      <c r="B14" s="13" t="s">
        <v>912</v>
      </c>
      <c r="C14" s="13" t="s">
        <v>913</v>
      </c>
      <c r="D14" s="13" t="s">
        <v>372</v>
      </c>
      <c r="E14" s="13" t="s">
        <v>914</v>
      </c>
      <c r="F14" s="13" t="s">
        <v>850</v>
      </c>
      <c r="G14" s="13" t="s">
        <v>866</v>
      </c>
      <c r="H14" s="13" t="s">
        <v>915</v>
      </c>
      <c r="I14" s="13" t="s">
        <v>916</v>
      </c>
      <c r="J14" s="14" t="s">
        <v>854</v>
      </c>
    </row>
    <row r="17" spans="1:10" ht="19.2" customHeight="1">
      <c r="A17" s="15" t="s">
        <v>917</v>
      </c>
      <c r="B17" s="15"/>
      <c r="C17" s="15"/>
      <c r="D17" s="15"/>
      <c r="E17" s="15"/>
      <c r="F17" s="15"/>
      <c r="G17" s="15"/>
      <c r="H17" s="15"/>
      <c r="I17" s="15"/>
      <c r="J17" s="15"/>
    </row>
    <row r="19" spans="1:10" ht="17.399999999999999" customHeight="1">
      <c r="A19" s="16" t="s">
        <v>918</v>
      </c>
      <c r="B19" s="16"/>
      <c r="C19" s="16"/>
      <c r="D19" s="16"/>
      <c r="E19" s="16"/>
      <c r="F19" s="16"/>
      <c r="G19" s="16"/>
      <c r="H19" s="16"/>
      <c r="I19" s="16"/>
      <c r="J19" s="16"/>
    </row>
    <row r="20" spans="1:10" ht="18" customHeight="1">
      <c r="A20" s="16"/>
      <c r="B20" s="16"/>
      <c r="C20" s="16"/>
      <c r="D20" s="16"/>
      <c r="E20" s="16"/>
      <c r="F20" s="16"/>
      <c r="G20" s="16"/>
      <c r="H20" s="16"/>
      <c r="I20" s="16"/>
      <c r="J20" s="16"/>
    </row>
  </sheetData>
  <mergeCells count="3">
    <mergeCell ref="A1:J1"/>
    <mergeCell ref="A17:J17"/>
    <mergeCell ref="A19:J20"/>
  </mergeCells>
  <conditionalFormatting sqref="F4:F14">
    <cfRule type="expression" dxfId="1" priority="1">
      <formula>F4="PASS"</formula>
    </cfRule>
    <cfRule type="expression" dxfId="0" priority="2">
      <formula>F4="PASS WITH DISCLOSURE"</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README</vt:lpstr>
      <vt:lpstr>Material_Master_Clean</vt:lpstr>
      <vt:lpstr>Supplier_Master_Clean</vt:lpstr>
      <vt:lpstr>Plant_Master_Clean</vt:lpstr>
      <vt:lpstr>BOM_Clean</vt:lpstr>
      <vt:lpstr>Inventory_Snapshot_Clean</vt:lpstr>
      <vt:lpstr>Purchase_Order_Lines_Clean</vt:lpstr>
      <vt:lpstr>Production_Orders_Clean</vt:lpstr>
      <vt:lpstr>Cleaning_Log</vt:lpstr>
      <vt:lpstr>Change_Summary</vt:lpstr>
      <vt:lpstr>DQ_Summary_After</vt:lpstr>
      <vt:lpstr>Consultant_Findings</vt:lpstr>
      <vt:lpstr>Release_Readiness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Dinesh Welikala</dc:creator>
  <cp:lastModifiedBy>Dinesh Welikala</cp:lastModifiedBy>
  <dcterms:modified xsi:type="dcterms:W3CDTF">2026-08-06T12:27:16Z</dcterms:modified>
</cp:coreProperties>
</file>